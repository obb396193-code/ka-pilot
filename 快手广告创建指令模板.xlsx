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令生成器" sheetId="1" state="visible" r:id="rId1"/>
    <sheet xmlns:r="http://schemas.openxmlformats.org/officeDocument/2006/relationships" name="批量创建模板" sheetId="2" state="visible" r:id="rId2"/>
    <sheet xmlns:r="http://schemas.openxmlformats.org/officeDocument/2006/relationships" name="常用配置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808080"/>
      <sz val="10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b val="1"/>
      <color rgb="00333333"/>
      <sz val="11"/>
    </font>
    <font>
      <name val="Arial"/>
      <color rgb="000000FF"/>
      <sz val="11"/>
    </font>
    <font>
      <name val="Arial"/>
      <color rgb="00808080"/>
      <sz val="11"/>
    </font>
    <font>
      <name val="Arial"/>
      <i val="1"/>
      <color rgb="00999999"/>
      <sz val="10"/>
    </font>
    <font>
      <name val="Arial"/>
      <color rgb="00C00000"/>
      <sz val="10"/>
    </font>
    <font>
      <name val="Arial"/>
      <color rgb="00008000"/>
      <sz val="11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b val="1"/>
      <color rgb="00008000"/>
      <sz val="11"/>
    </font>
    <font>
      <name val="Arial"/>
      <color rgb="00CC0000"/>
      <sz val="11"/>
    </font>
    <font>
      <name val="Arial"/>
      <b val="1"/>
      <color rgb="00C00000"/>
      <sz val="12"/>
    </font>
    <font>
      <name val="Arial"/>
      <color rgb="00CCCCCC"/>
      <sz val="8"/>
    </font>
    <font>
      <name val="Consolas"/>
      <color rgb="00C00000"/>
      <sz val="10"/>
    </font>
    <font>
      <name val="Consolas"/>
      <color rgb="00808080"/>
      <sz val="9"/>
    </font>
    <font>
      <name val="Arial"/>
      <color rgb="00555555"/>
      <sz val="10"/>
    </font>
    <font>
      <name val="Arial"/>
      <color rgb="00333333"/>
      <sz val="11"/>
    </font>
  </fonts>
  <fills count="1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8F4F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6EAF8"/>
      </patternFill>
    </fill>
    <fill>
      <patternFill patternType="solid">
        <fgColor rgb="002E86C1"/>
      </patternFill>
    </fill>
    <fill>
      <patternFill patternType="solid">
        <fgColor rgb="00F0F7FF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CCCCC"/>
      </patternFill>
    </fill>
    <fill>
      <patternFill patternType="solid">
        <fgColor rgb="00E8F8E8"/>
      </patternFill>
    </fill>
    <fill>
      <patternFill patternType="solid">
        <fgColor rgb="00DAEEF3"/>
      </patternFill>
    </fill>
    <fill>
      <patternFill patternType="solid">
        <fgColor rgb="00F2E6F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indent="1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 indent="1"/>
    </xf>
    <xf numFmtId="0" fontId="10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vertical="center"/>
    </xf>
    <xf numFmtId="0" fontId="0" fillId="8" borderId="0" pivotButton="0" quotePrefix="0" xfId="0"/>
    <xf numFmtId="0" fontId="12" fillId="9" borderId="1" applyAlignment="1" pivotButton="0" quotePrefix="0" xfId="0">
      <alignment horizontal="center" vertical="center"/>
    </xf>
    <xf numFmtId="0" fontId="16" fillId="0" borderId="0" pivotButton="0" quotePrefix="0" xfId="0"/>
    <xf numFmtId="0" fontId="5" fillId="10" borderId="1" applyAlignment="1" pivotButton="0" quotePrefix="0" xfId="0">
      <alignment vertical="center" indent="1"/>
    </xf>
    <xf numFmtId="0" fontId="0" fillId="10" borderId="1" applyAlignment="1" pivotButton="0" quotePrefix="0" xfId="0">
      <alignment vertical="center"/>
    </xf>
    <xf numFmtId="0" fontId="13" fillId="7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indent="1"/>
    </xf>
    <xf numFmtId="0" fontId="1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indent="1"/>
    </xf>
    <xf numFmtId="0" fontId="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 indent="1"/>
    </xf>
    <xf numFmtId="0" fontId="15" fillId="11" borderId="1" applyAlignment="1" pivotButton="0" quotePrefix="0" xfId="0">
      <alignment vertical="center"/>
    </xf>
    <xf numFmtId="0" fontId="0" fillId="11" borderId="0" pivotButton="0" quotePrefix="0" xfId="0"/>
    <xf numFmtId="0" fontId="17" fillId="7" borderId="2" applyAlignment="1" pivotButton="0" quotePrefix="0" xfId="0">
      <alignment horizontal="left" vertical="top" wrapText="1"/>
    </xf>
    <xf numFmtId="0" fontId="0" fillId="7" borderId="2" pivotButton="0" quotePrefix="0" xfId="0"/>
    <xf numFmtId="0" fontId="11" fillId="2" borderId="1" applyAlignment="1" pivotButton="0" quotePrefix="0" xfId="0">
      <alignment vertical="center"/>
    </xf>
    <xf numFmtId="0" fontId="18" fillId="12" borderId="0" applyAlignment="1" pivotButton="0" quotePrefix="0" xfId="0">
      <alignment vertical="center" wrapText="1"/>
    </xf>
    <xf numFmtId="0" fontId="0" fillId="12" borderId="0" pivotButton="0" quotePrefix="0" xfId="0"/>
    <xf numFmtId="0" fontId="19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7" fillId="7" borderId="1" applyAlignment="1" pivotButton="0" quotePrefix="0" xfId="0">
      <alignment vertical="center" wrapText="1"/>
    </xf>
    <xf numFmtId="0" fontId="20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5" pivotButton="0" quotePrefix="0" xfId="0"/>
    <xf numFmtId="0" fontId="11" fillId="15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5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16" customWidth="1" min="4" max="4"/>
    <col width="28" customWidth="1" min="5" max="5"/>
    <col width="65" customWidth="1" min="6" max="6"/>
  </cols>
  <sheetData>
    <row r="1" ht="36" customHeight="1">
      <c r="B1" s="1" t="inlineStr">
        <is>
          <t>快手广告创建 - 指令参数模板</t>
        </is>
      </c>
    </row>
    <row r="2">
      <c r="B2" s="2" t="inlineStr">
        <is>
          <t>蓝色=每次修改 | 灰色=固定 | 黄色=下拉选 | 橙色=自动生成指令</t>
        </is>
      </c>
    </row>
    <row r="4" ht="28" customHeight="1">
      <c r="B4" s="3" t="inlineStr">
        <is>
          <t>参数设置</t>
        </is>
      </c>
      <c r="C4" s="4" t="n"/>
      <c r="D4" s="4" t="n"/>
      <c r="E4" s="4" t="n"/>
    </row>
    <row r="5">
      <c r="B5" s="5" t="inlineStr">
        <is>
          <t>参数名</t>
        </is>
      </c>
      <c r="C5" s="5" t="inlineStr">
        <is>
          <t>参数值</t>
        </is>
      </c>
      <c r="D5" s="6" t="inlineStr">
        <is>
          <t>快捷选择 ▼</t>
        </is>
      </c>
      <c r="E5" s="5" t="inlineStr">
        <is>
          <t>说明</t>
        </is>
      </c>
    </row>
    <row r="6" ht="26" customHeight="1">
      <c r="B6" s="7" t="inlineStr">
        <is>
          <t>基建组数</t>
        </is>
      </c>
      <c r="C6" s="8" t="inlineStr">
        <is>
          <t>100</t>
        </is>
      </c>
      <c r="D6" s="9" t="inlineStr">
        <is>
          <t>手动填写</t>
        </is>
      </c>
      <c r="E6" s="10" t="inlineStr">
        <is>
          <t>建多少组广告</t>
        </is>
      </c>
    </row>
    <row r="7" ht="26" customHeight="1">
      <c r="B7" s="7" t="inlineStr">
        <is>
          <t>账户ID</t>
        </is>
      </c>
      <c r="C7" s="8" t="inlineStr"/>
      <c r="D7" s="9" t="inlineStr">
        <is>
          <t>手动填写</t>
        </is>
      </c>
      <c r="E7" s="10" t="inlineStr">
        <is>
          <t>快手广告主账户ID</t>
        </is>
      </c>
    </row>
    <row r="8" ht="26" customHeight="1">
      <c r="B8" s="7" t="inlineStr">
        <is>
          <t>任务ID</t>
        </is>
      </c>
      <c r="C8" s="11">
        <f>IF(D8="— 选择任务 —","",IF(D8="",C8,IFERROR(VLOOKUP(D8,常用配置库!$C$60:$D$93,2,FALSE),"")))</f>
        <v/>
      </c>
      <c r="D8" s="12" t="inlineStr">
        <is>
          <t>— 选择任务 —</t>
        </is>
      </c>
      <c r="E8" s="10" t="inlineStr">
        <is>
          <t>下拉选任务名称自动填入</t>
        </is>
      </c>
    </row>
    <row r="9" ht="26" customHeight="1">
      <c r="B9" s="7" t="inlineStr">
        <is>
          <t>素材套餐</t>
        </is>
      </c>
      <c r="C9" s="11">
        <f>IF(D9="— 选择素材 —","",D9)</f>
        <v/>
      </c>
      <c r="D9" s="12" t="inlineStr">
        <is>
          <t>— 选择素材 —</t>
        </is>
      </c>
      <c r="E9" s="10" t="inlineStr">
        <is>
          <t>选模板→素材库/落地页/文案一起填</t>
        </is>
      </c>
    </row>
    <row r="10" ht="26" customHeight="1">
      <c r="B10" s="7" t="inlineStr">
        <is>
          <t>素材库ID</t>
        </is>
      </c>
      <c r="C10" s="11">
        <f>IF(D9="— 选择素材 —","",IFERROR(VLOOKUP(D9,常用配置库!$B$5:$E$20,2,FALSE),""))</f>
        <v/>
      </c>
      <c r="D10" s="9" t="inlineStr">
        <is>
          <t>自动填入</t>
        </is>
      </c>
      <c r="E10" s="10" t="inlineStr">
        <is>
          <t>← 自动</t>
        </is>
      </c>
    </row>
    <row r="11" ht="26" customHeight="1">
      <c r="B11" s="7" t="inlineStr">
        <is>
          <t>落地页</t>
        </is>
      </c>
      <c r="C11" s="11">
        <f>IF(D9="— 选择素材 —","",IFERROR(VLOOKUP(D9,常用配置库!$B$5:$E$20,3,FALSE),""))</f>
        <v/>
      </c>
      <c r="D11" s="9" t="inlineStr">
        <is>
          <t>自动填入</t>
        </is>
      </c>
      <c r="E11" s="10" t="inlineStr">
        <is>
          <t>← 自动</t>
        </is>
      </c>
    </row>
    <row r="12" ht="26" customHeight="1">
      <c r="B12" s="7" t="inlineStr">
        <is>
          <t>文案库ID</t>
        </is>
      </c>
      <c r="C12" s="11">
        <f>IF(D9="— 选择素材 —","",IFERROR(VLOOKUP(D9,常用配置库!$B$5:$E$20,4,FALSE),""))</f>
        <v/>
      </c>
      <c r="D12" s="9" t="inlineStr">
        <is>
          <t>自动填入</t>
        </is>
      </c>
      <c r="E12" s="10" t="inlineStr">
        <is>
          <t>← 自动</t>
        </is>
      </c>
    </row>
    <row r="13" ht="26" customHeight="1">
      <c r="B13" s="7" t="inlineStr">
        <is>
          <t>参考套餐</t>
        </is>
      </c>
      <c r="C13" s="11">
        <f>IF(D13="— 选择套餐 —","",D13)</f>
        <v/>
      </c>
      <c r="D13" s="12" t="inlineStr">
        <is>
          <t>— 选择套餐 —</t>
        </is>
      </c>
      <c r="E13" s="10" t="inlineStr">
        <is>
          <t>选昵称→账户/计划/组一起填</t>
        </is>
      </c>
    </row>
    <row r="14" ht="26" customHeight="1">
      <c r="B14" s="7" t="inlineStr">
        <is>
          <t>参考账户ID</t>
        </is>
      </c>
      <c r="C14" s="11">
        <f>IF(D13="— 选择套餐 —","",IFERROR(VLOOKUP(D13,常用配置库!$B$24:$E$47,2,FALSE),""))</f>
        <v/>
      </c>
      <c r="D14" s="9" t="inlineStr">
        <is>
          <t>自动填入</t>
        </is>
      </c>
      <c r="E14" s="10" t="inlineStr">
        <is>
          <t>← 自动</t>
        </is>
      </c>
    </row>
    <row r="15" ht="26" customHeight="1">
      <c r="B15" s="7" t="inlineStr">
        <is>
          <t>参考计划ID</t>
        </is>
      </c>
      <c r="C15" s="11">
        <f>IF(D13="— 选择套餐 —","",IFERROR(VLOOKUP(D13,常用配置库!$B$24:$E$47,3,FALSE),""))</f>
        <v/>
      </c>
      <c r="D15" s="9" t="inlineStr">
        <is>
          <t>自动填入</t>
        </is>
      </c>
      <c r="E15" s="10" t="inlineStr">
        <is>
          <t>← 自动</t>
        </is>
      </c>
    </row>
    <row r="16" ht="26" customHeight="1">
      <c r="B16" s="7" t="inlineStr">
        <is>
          <t>参考广告组ID</t>
        </is>
      </c>
      <c r="C16" s="11">
        <f>IF(D13="— 选择套餐 —","",IFERROR(VLOOKUP(D13,常用配置库!$B$24:$E$47,4,FALSE),""))</f>
        <v/>
      </c>
      <c r="D16" s="9" t="inlineStr">
        <is>
          <t>自动填入</t>
        </is>
      </c>
      <c r="E16" s="10" t="inlineStr">
        <is>
          <t>← 自动</t>
        </is>
      </c>
    </row>
    <row r="17" ht="26" customHeight="1">
      <c r="B17" s="7" t="inlineStr">
        <is>
          <t>出价方式</t>
        </is>
      </c>
      <c r="C17" s="11">
        <f>D17</f>
        <v/>
      </c>
      <c r="D17" s="12" t="inlineStr">
        <is>
          <t>付费</t>
        </is>
      </c>
      <c r="E17" s="10" t="inlineStr">
        <is>
          <t>付费/订单/激活</t>
        </is>
      </c>
    </row>
    <row r="18" ht="26" customHeight="1">
      <c r="B18" s="7" t="inlineStr">
        <is>
          <t>出价金额</t>
        </is>
      </c>
      <c r="C18" s="8" t="inlineStr"/>
      <c r="D18" s="9" t="inlineStr">
        <is>
          <t>手动填写</t>
        </is>
      </c>
      <c r="E18" s="10" t="inlineStr">
        <is>
          <t>单位：元</t>
        </is>
      </c>
    </row>
    <row r="19" ht="26" customHeight="1">
      <c r="B19" s="7" t="inlineStr">
        <is>
          <t>伪装参数</t>
        </is>
      </c>
      <c r="C19" s="11">
        <f>IF(D19="— 选择 —","",IF(D19="",C19,D19))</f>
        <v/>
      </c>
      <c r="D19" s="12" t="inlineStr">
        <is>
          <t>— 选择 —</t>
        </is>
      </c>
      <c r="E19" s="10" t="inlineStr">
        <is>
          <t>激活出价时选，完整值直接填入</t>
        </is>
      </c>
    </row>
    <row r="20" ht="26" customHeight="1">
      <c r="B20" s="7" t="inlineStr">
        <is>
          <t>设备类型</t>
        </is>
      </c>
      <c r="C20" s="11">
        <f>D20</f>
        <v/>
      </c>
      <c r="D20" s="12" t="inlineStr">
        <is>
          <t>双端设备</t>
        </is>
      </c>
      <c r="E20" s="10" t="inlineStr">
        <is>
          <t>双端设备/iOS/Android</t>
        </is>
      </c>
    </row>
    <row r="21" ht="26" customHeight="1">
      <c r="B21" s="7" t="inlineStr">
        <is>
          <t>过滤已安装</t>
        </is>
      </c>
      <c r="C21" s="11">
        <f>D21</f>
        <v/>
      </c>
      <c r="D21" s="12" t="inlineStr">
        <is>
          <t>过滤</t>
        </is>
      </c>
      <c r="E21" s="10" t="inlineStr">
        <is>
          <t>过滤/不过滤</t>
        </is>
      </c>
    </row>
    <row r="22" ht="26" customHeight="1">
      <c r="B22" s="7" t="inlineStr">
        <is>
          <t>投放时段</t>
        </is>
      </c>
      <c r="C22" s="11">
        <f>IF(D22="— 选择时段 —","",IFERROR(VLOOKUP(D22,常用配置库!$B$87:$C$101,2,FALSE),""))</f>
        <v/>
      </c>
      <c r="D22" s="12" t="inlineStr">
        <is>
          <t>— 选择时段 —</t>
        </is>
      </c>
      <c r="E22" s="10" t="inlineStr">
        <is>
          <t>下拉选时段模板</t>
        </is>
      </c>
    </row>
    <row r="24" ht="26" customHeight="1">
      <c r="B24" s="13" t="inlineStr">
        <is>
          <t>资源位选择（可多选）</t>
        </is>
      </c>
      <c r="C24" s="14" t="n"/>
      <c r="D24" s="14" t="n"/>
      <c r="E24" s="14" t="n"/>
    </row>
    <row r="25">
      <c r="B25" s="15" t="inlineStr">
        <is>
          <t>资源位名称</t>
        </is>
      </c>
      <c r="C25" s="15" t="inlineStr"/>
      <c r="D25" s="15" t="inlineStr">
        <is>
          <t>是否启用 ▼</t>
        </is>
      </c>
      <c r="E25" s="15" t="inlineStr">
        <is>
          <t>说明</t>
        </is>
      </c>
      <c r="G25" s="16">
        <f>IF(D26="是","优选,","")&amp;IF(D27="是","上下滑,","")&amp;IF(D28="是","激励,","")&amp;IF(D29="是","联盟,","")&amp;IF(D30="是","开屏,","")</f>
        <v/>
      </c>
    </row>
    <row r="26" ht="24" customHeight="1">
      <c r="B26" s="17" t="inlineStr">
        <is>
          <t>优选</t>
        </is>
      </c>
      <c r="C26" s="18" t="n"/>
      <c r="D26" s="19" t="inlineStr">
        <is>
          <t>是</t>
        </is>
      </c>
      <c r="E26" s="20" t="inlineStr">
        <is>
          <t>系统自动优选</t>
        </is>
      </c>
    </row>
    <row r="27" ht="24" customHeight="1">
      <c r="B27" s="17" t="inlineStr">
        <is>
          <t>上下滑</t>
        </is>
      </c>
      <c r="C27" s="18" t="n"/>
      <c r="D27" s="21" t="inlineStr">
        <is>
          <t>否</t>
        </is>
      </c>
      <c r="E27" s="20" t="inlineStr">
        <is>
          <t>信息流上下滑</t>
        </is>
      </c>
    </row>
    <row r="28" ht="24" customHeight="1">
      <c r="B28" s="17" t="inlineStr">
        <is>
          <t>激励</t>
        </is>
      </c>
      <c r="C28" s="18" t="n"/>
      <c r="D28" s="21" t="inlineStr">
        <is>
          <t>否</t>
        </is>
      </c>
      <c r="E28" s="20" t="inlineStr">
        <is>
          <t>激励视频</t>
        </is>
      </c>
    </row>
    <row r="29" ht="24" customHeight="1">
      <c r="B29" s="17" t="inlineStr">
        <is>
          <t>联盟</t>
        </is>
      </c>
      <c r="C29" s="18" t="n"/>
      <c r="D29" s="21" t="inlineStr">
        <is>
          <t>否</t>
        </is>
      </c>
      <c r="E29" s="20" t="inlineStr">
        <is>
          <t>联盟流量</t>
        </is>
      </c>
    </row>
    <row r="30" ht="24" customHeight="1">
      <c r="B30" s="17" t="inlineStr">
        <is>
          <t>开屏</t>
        </is>
      </c>
      <c r="C30" s="18" t="n"/>
      <c r="D30" s="21" t="inlineStr">
        <is>
          <t>否</t>
        </is>
      </c>
      <c r="E30" s="20" t="inlineStr">
        <is>
          <t>开屏广告</t>
        </is>
      </c>
    </row>
    <row r="32" ht="28" customHeight="1">
      <c r="B32" s="3" t="inlineStr">
        <is>
          <t>固定参数</t>
        </is>
      </c>
      <c r="C32" s="4" t="n"/>
      <c r="D32" s="4" t="n"/>
      <c r="E32" s="4" t="n"/>
    </row>
    <row r="33">
      <c r="B33" s="5" t="inlineStr">
        <is>
          <t>参数名</t>
        </is>
      </c>
      <c r="C33" s="5" t="inlineStr">
        <is>
          <t>参数值</t>
        </is>
      </c>
      <c r="D33" s="5" t="inlineStr"/>
      <c r="E33" s="5" t="inlineStr">
        <is>
          <t>说明</t>
        </is>
      </c>
    </row>
    <row r="34">
      <c r="B34" s="22" t="inlineStr">
        <is>
          <t>基建工具</t>
        </is>
      </c>
      <c r="C34" s="23" t="inlineStr">
        <is>
          <t>ks-create-ad-script</t>
        </is>
      </c>
      <c r="D34" s="24" t="n"/>
      <c r="E34" s="25" t="inlineStr">
        <is>
          <t>固定使用此工具</t>
        </is>
      </c>
    </row>
    <row r="36" ht="28" customHeight="1">
      <c r="B36" s="26" t="inlineStr">
        <is>
          <t>自动生成的完整指令（直接复制使用）</t>
        </is>
      </c>
      <c r="C36" s="27" t="n"/>
      <c r="D36" s="27" t="n"/>
      <c r="E36" s="27" t="n"/>
      <c r="F36" s="27" t="n"/>
    </row>
    <row r="37" ht="100" customHeight="1">
      <c r="B37" s="28">
        <f>"使用ks-create-ad-script基建"&amp;C6&amp;"组快手广告，"&amp;"账户ID为"&amp;C7&amp;"，任务ID "&amp;C8&amp;"，"&amp;IF(C14&lt;&gt;"","参考"&amp;C14&amp;"账户原来的计划"&amp;C15&amp;IF(C16&lt;&gt;"","组"&amp;C16,"")&amp;"，","")&amp;"出价方式"&amp;C17&amp;IF(C18&lt;&gt;"","，出价"&amp;C18&amp;"元","")&amp;"，"&amp;"素材库"&amp;C10&amp;"，落地页"&amp;C11&amp;"，文案库"&amp;C12&amp;"，"&amp;C20&amp;"，"&amp;IF(G25&lt;&gt;"",LEFT(G25,LEN(G25)-1),"")&amp;"资源位，"&amp;C21&amp;"，投放时段"&amp;C22&amp;"点"&amp;IF(C19&lt;&gt;"","，"&amp;C19,"")&amp;"，其他默认"</f>
        <v/>
      </c>
      <c r="C37" s="29" t="n"/>
      <c r="D37" s="29" t="n"/>
      <c r="E37" s="29" t="n"/>
      <c r="F37" s="29" t="n"/>
    </row>
    <row r="39" ht="24" customHeight="1">
      <c r="B39" s="30" t="inlineStr">
        <is>
          <t>指令效果预览（示例）</t>
        </is>
      </c>
      <c r="C39" s="4" t="n"/>
      <c r="D39" s="4" t="n"/>
      <c r="E39" s="4" t="n"/>
      <c r="F39" s="4" t="n"/>
    </row>
    <row r="40" ht="40" customHeight="1">
      <c r="B40" s="31" t="inlineStr">
        <is>
          <t>使用ks-create-ad-script基建100组快手广告，账户ID为xxx，任务ID 1803240580，参考1803240580账户原来的计划979504组222，出价方式激活，出价30元，素材库81395，落地页landing_v2_1388，文案库431，双端设备，优选资源位，过滤，投放时段7-22点，&amp;translationTag=86_60&amp;translationTag2=104_60，其他默认</t>
        </is>
      </c>
      <c r="C40" s="32" t="n"/>
      <c r="D40" s="32" t="n"/>
      <c r="E40" s="32" t="n"/>
      <c r="F40" s="32" t="n"/>
    </row>
    <row r="42" ht="28" customHeight="1">
      <c r="B42" s="3" t="inlineStr">
        <is>
          <t>使用说明</t>
        </is>
      </c>
      <c r="C42" s="4" t="n"/>
      <c r="D42" s="4" t="n"/>
      <c r="E42" s="4" t="n"/>
      <c r="F42" s="4" t="n"/>
    </row>
    <row r="43" ht="22" customHeight="1">
      <c r="B43" s="33" t="inlineStr">
        <is>
          <t>1. 基建组数：填要建多少组广告，如100</t>
        </is>
      </c>
    </row>
    <row r="44" ht="22" customHeight="1">
      <c r="B44" s="33" t="inlineStr">
        <is>
          <t>2. 任务ID：下拉选任务名称 → 任务ID自动填入</t>
        </is>
      </c>
    </row>
    <row r="45" ht="22" customHeight="1">
      <c r="B45" s="33" t="inlineStr">
        <is>
          <t>3. 素材套餐：下拉选模板名 → 素材库ID/落地页/文案库ID 三个一起填</t>
        </is>
      </c>
    </row>
    <row r="46" ht="22" customHeight="1">
      <c r="B46" s="33" t="inlineStr">
        <is>
          <t>4. 参考套餐：下拉选昵称 → 参考账户ID/计划ID/广告组ID 三个一起填</t>
        </is>
      </c>
    </row>
    <row r="47" ht="22" customHeight="1">
      <c r="B47" s="33" t="inlineStr">
        <is>
          <t>5. 伪装参数：下拉选完整值直接填入，如 &amp;translationTag=86_60&amp;translationTag2=104_60</t>
        </is>
      </c>
    </row>
    <row r="48" ht="22" customHeight="1">
      <c r="B48" s="33" t="inlineStr">
        <is>
          <t>6. 投放时段：下拉选时段模板，如白天投放/全天投放/夜间投放</t>
        </is>
      </c>
    </row>
    <row r="49" ht="22" customHeight="1">
      <c r="B49" s="33" t="inlineStr">
        <is>
          <t>7. 出价方式=付费/订单时伪装参数不选即可，指令自动不显示</t>
        </is>
      </c>
    </row>
    <row r="50" ht="22" customHeight="1">
      <c r="B50" s="33" t="inlineStr">
        <is>
          <t>8. 资源位多选：每个资源位单独选"是/否"</t>
        </is>
      </c>
    </row>
    <row r="51" ht="22" customHeight="1">
      <c r="B51" s="33" t="inlineStr">
        <is>
          <t>9. 所有下拉值都在"常用配置库"维护，可随时新增修改删除</t>
        </is>
      </c>
    </row>
    <row r="52" ht="22" customHeight="1">
      <c r="B52" s="33" t="inlineStr">
        <is>
          <t>10. 下方橙色区域自动生成完整指令，直接复制粘贴使用</t>
        </is>
      </c>
    </row>
  </sheetData>
  <mergeCells count="20">
    <mergeCell ref="B47:F47"/>
    <mergeCell ref="B46:F46"/>
    <mergeCell ref="B24:E24"/>
    <mergeCell ref="B32:E32"/>
    <mergeCell ref="B52:F52"/>
    <mergeCell ref="B43:F43"/>
    <mergeCell ref="B39:F39"/>
    <mergeCell ref="B4:E4"/>
    <mergeCell ref="B2:F2"/>
    <mergeCell ref="B48:F48"/>
    <mergeCell ref="B42:F42"/>
    <mergeCell ref="B1:F1"/>
    <mergeCell ref="B44:F44"/>
    <mergeCell ref="B37:F37"/>
    <mergeCell ref="B40:F40"/>
    <mergeCell ref="B49:F49"/>
    <mergeCell ref="B51:F51"/>
    <mergeCell ref="B45:F45"/>
    <mergeCell ref="B36:F36"/>
    <mergeCell ref="B50:F50"/>
  </mergeCells>
  <dataValidations count="13">
    <dataValidation sqref="D8" showDropDown="0" showInputMessage="0" showErrorMessage="0" allowBlank="1" type="list">
      <formula1>=常用配置库!$C$60:$C$93</formula1>
    </dataValidation>
    <dataValidation sqref="D9" showDropDown="0" showInputMessage="0" showErrorMessage="0" allowBlank="1" type="list">
      <formula1>=常用配置库!$B$5:$B$20</formula1>
    </dataValidation>
    <dataValidation sqref="D13" showDropDown="0" showInputMessage="0" showErrorMessage="0" allowBlank="1" type="list">
      <formula1>=常用配置库!$B$24:$B$47</formula1>
    </dataValidation>
    <dataValidation sqref="D17" showDropDown="0" showInputMessage="0" showErrorMessage="0" allowBlank="1" type="list">
      <formula1>"付费,订单,激活"</formula1>
    </dataValidation>
    <dataValidation sqref="D19" showDropDown="0" showInputMessage="0" showErrorMessage="0" allowBlank="1" type="list">
      <formula1>=常用配置库!$C$44:$C$56</formula1>
    </dataValidation>
    <dataValidation sqref="D20" showDropDown="0" showInputMessage="0" showErrorMessage="0" allowBlank="1" type="list">
      <formula1>"双端设备,iOS,Android"</formula1>
    </dataValidation>
    <dataValidation sqref="D21" showDropDown="0" showInputMessage="0" showErrorMessage="0" allowBlank="1" type="list">
      <formula1>"过滤,不过滤"</formula1>
    </dataValidation>
    <dataValidation sqref="D22" showDropDown="0" showInputMessage="0" showErrorMessage="0" allowBlank="1" type="list">
      <formula1>=常用配置库!$B$87:$B$101</formula1>
    </dataValidation>
    <dataValidation sqref="D26" showDropDown="0" showInputMessage="0" showErrorMessage="0" allowBlank="0" type="list">
      <formula1>"是,否"</formula1>
    </dataValidation>
    <dataValidation sqref="D27" showDropDown="0" showInputMessage="0" showErrorMessage="0" allowBlank="0" type="list">
      <formula1>"是,否"</formula1>
    </dataValidation>
    <dataValidation sqref="D28" showDropDown="0" showInputMessage="0" showErrorMessage="0" allowBlank="0" type="list">
      <formula1>"是,否"</formula1>
    </dataValidation>
    <dataValidation sqref="D29" showDropDown="0" showInputMessage="0" showErrorMessage="0" allowBlank="0" type="list">
      <formula1>"是,否"</formula1>
    </dataValidation>
    <dataValidation sqref="D3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  <col width="30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60" customWidth="1" min="23" max="23"/>
  </cols>
  <sheetData>
    <row r="1" ht="36" customHeight="1">
      <c r="A1" s="1" t="inlineStr">
        <is>
          <t>快手广告批量创建 - 每行一条广告</t>
        </is>
      </c>
    </row>
    <row r="2">
      <c r="A2" s="2" t="inlineStr">
        <is>
          <t>W列自动生成指令，直接复制使用</t>
        </is>
      </c>
    </row>
    <row r="4" ht="32" customHeight="1">
      <c r="A4" s="34" t="inlineStr">
        <is>
          <t>序号</t>
        </is>
      </c>
      <c r="B4" s="34" t="inlineStr">
        <is>
          <t>组数</t>
        </is>
      </c>
      <c r="C4" s="34" t="inlineStr">
        <is>
          <t>账户ID</t>
        </is>
      </c>
      <c r="D4" s="34" t="inlineStr">
        <is>
          <t>任务ID</t>
        </is>
      </c>
      <c r="E4" s="34" t="inlineStr">
        <is>
          <t>参考账户ID</t>
        </is>
      </c>
      <c r="F4" s="34" t="inlineStr">
        <is>
          <t>参考计划ID</t>
        </is>
      </c>
      <c r="G4" s="34" t="inlineStr">
        <is>
          <t>参考广告组ID</t>
        </is>
      </c>
      <c r="H4" s="34" t="inlineStr">
        <is>
          <t>出价方式</t>
        </is>
      </c>
      <c r="I4" s="34" t="inlineStr">
        <is>
          <t>出价(元)</t>
        </is>
      </c>
      <c r="J4" s="34" t="inlineStr">
        <is>
          <t>伪装参数</t>
        </is>
      </c>
      <c r="K4" s="34" t="inlineStr">
        <is>
          <t>素材库ID</t>
        </is>
      </c>
      <c r="L4" s="34" t="inlineStr">
        <is>
          <t>落地页</t>
        </is>
      </c>
      <c r="M4" s="34" t="inlineStr">
        <is>
          <t>文案库ID</t>
        </is>
      </c>
      <c r="N4" s="34" t="inlineStr">
        <is>
          <t>设备类型</t>
        </is>
      </c>
      <c r="O4" s="34" t="inlineStr">
        <is>
          <t>过滤已安装</t>
        </is>
      </c>
      <c r="P4" s="34" t="inlineStr">
        <is>
          <t>投放时段</t>
        </is>
      </c>
      <c r="Q4" s="34" t="inlineStr">
        <is>
          <t>优选</t>
        </is>
      </c>
      <c r="R4" s="34" t="inlineStr">
        <is>
          <t>上下滑</t>
        </is>
      </c>
      <c r="S4" s="34" t="inlineStr">
        <is>
          <t>激励</t>
        </is>
      </c>
      <c r="T4" s="34" t="inlineStr">
        <is>
          <t>联盟</t>
        </is>
      </c>
      <c r="U4" s="34" t="inlineStr">
        <is>
          <t>开屏</t>
        </is>
      </c>
      <c r="V4" s="35" t="inlineStr"/>
      <c r="W4" s="36" t="inlineStr">
        <is>
          <t>自动生成指令</t>
        </is>
      </c>
    </row>
    <row r="5" ht="26" customHeight="1">
      <c r="A5" s="37" t="n">
        <v>1</v>
      </c>
      <c r="B5" s="38" t="inlineStr">
        <is>
          <t>100</t>
        </is>
      </c>
      <c r="C5" s="38" t="n"/>
      <c r="D5" s="38" t="n"/>
      <c r="E5" s="38" t="n"/>
      <c r="F5" s="38" t="n"/>
      <c r="G5" s="38" t="n"/>
      <c r="H5" s="38" t="inlineStr">
        <is>
          <t>付费</t>
        </is>
      </c>
      <c r="I5" s="38" t="n"/>
      <c r="J5" s="38" t="n"/>
      <c r="K5" s="38" t="inlineStr">
        <is>
          <t>81395</t>
        </is>
      </c>
      <c r="L5" s="38" t="inlineStr">
        <is>
          <t>landing_v2_1388</t>
        </is>
      </c>
      <c r="M5" s="38" t="inlineStr">
        <is>
          <t>431</t>
        </is>
      </c>
      <c r="N5" s="38" t="inlineStr">
        <is>
          <t>双端设备</t>
        </is>
      </c>
      <c r="O5" s="38" t="inlineStr">
        <is>
          <t>过滤</t>
        </is>
      </c>
      <c r="P5" s="38" t="inlineStr">
        <is>
          <t>7-22</t>
        </is>
      </c>
      <c r="Q5" s="38" t="inlineStr">
        <is>
          <t>是</t>
        </is>
      </c>
      <c r="R5" s="38" t="inlineStr">
        <is>
          <t>否</t>
        </is>
      </c>
      <c r="S5" s="38" t="inlineStr">
        <is>
          <t>否</t>
        </is>
      </c>
      <c r="T5" s="38" t="inlineStr">
        <is>
          <t>否</t>
        </is>
      </c>
      <c r="U5" s="38" t="inlineStr">
        <is>
          <t>否</t>
        </is>
      </c>
      <c r="V5" s="16">
        <f>IF(Q5="是","优选,","")&amp;IF(R5="是","上下滑,","")&amp;IF(S5="是","激励,","")&amp;IF(T5="是","联盟,","")&amp;IF(U5="是","开屏,","")</f>
        <v/>
      </c>
      <c r="W5" s="39">
        <f>"使用ks-create-ad-script基建"&amp;B5&amp;"组快手广告，"&amp;"账户ID为"&amp;C5&amp;"，任务ID "&amp;D5&amp;"，"&amp;IF(E5&lt;&gt;"","参考"&amp;E5&amp;"账户原来的计划"&amp;F5&amp;IF(G5&lt;&gt;"","组"&amp;G5,"")&amp;"，","")&amp;"出价方式"&amp;H5&amp;IF(I5&lt;&gt;"","，出价"&amp;I5&amp;"元","")&amp;"，"&amp;"素材库"&amp;K5&amp;"，落地页"&amp;L5&amp;"，文案库"&amp;M5&amp;"，"&amp;N5&amp;"，"&amp;IF(V5&lt;&gt;"",LEFT(V5,LEN(V5)-1),"")&amp;"资源位，"&amp;O5&amp;"，投放时段"&amp;P5&amp;"点"&amp;IF(J5&lt;&gt;"","，"&amp;J5,"")&amp;"，其他默认"</f>
        <v/>
      </c>
    </row>
    <row r="6" ht="26" customHeight="1">
      <c r="A6" s="37" t="n">
        <v>2</v>
      </c>
      <c r="B6" s="38" t="inlineStr">
        <is>
          <t>100</t>
        </is>
      </c>
      <c r="C6" s="38" t="n"/>
      <c r="D6" s="38" t="n"/>
      <c r="E6" s="38" t="n"/>
      <c r="F6" s="38" t="n"/>
      <c r="G6" s="38" t="n"/>
      <c r="H6" s="38" t="inlineStr">
        <is>
          <t>付费</t>
        </is>
      </c>
      <c r="I6" s="38" t="n"/>
      <c r="J6" s="38" t="n"/>
      <c r="K6" s="38" t="inlineStr">
        <is>
          <t>81395</t>
        </is>
      </c>
      <c r="L6" s="38" t="inlineStr">
        <is>
          <t>landing_v2_1388</t>
        </is>
      </c>
      <c r="M6" s="38" t="inlineStr">
        <is>
          <t>431</t>
        </is>
      </c>
      <c r="N6" s="38" t="inlineStr">
        <is>
          <t>双端设备</t>
        </is>
      </c>
      <c r="O6" s="38" t="inlineStr">
        <is>
          <t>过滤</t>
        </is>
      </c>
      <c r="P6" s="38" t="inlineStr">
        <is>
          <t>7-22</t>
        </is>
      </c>
      <c r="Q6" s="38" t="inlineStr">
        <is>
          <t>是</t>
        </is>
      </c>
      <c r="R6" s="38" t="inlineStr">
        <is>
          <t>否</t>
        </is>
      </c>
      <c r="S6" s="38" t="inlineStr">
        <is>
          <t>否</t>
        </is>
      </c>
      <c r="T6" s="38" t="inlineStr">
        <is>
          <t>否</t>
        </is>
      </c>
      <c r="U6" s="38" t="inlineStr">
        <is>
          <t>否</t>
        </is>
      </c>
      <c r="V6" s="16">
        <f>IF(Q6="是","优选,","")&amp;IF(R6="是","上下滑,","")&amp;IF(S6="是","激励,","")&amp;IF(T6="是","联盟,","")&amp;IF(U6="是","开屏,","")</f>
        <v/>
      </c>
      <c r="W6" s="39">
        <f>"使用ks-create-ad-script基建"&amp;B6&amp;"组快手广告，"&amp;"账户ID为"&amp;C6&amp;"，任务ID "&amp;D6&amp;"，"&amp;IF(E6&lt;&gt;"","参考"&amp;E6&amp;"账户原来的计划"&amp;F6&amp;IF(G6&lt;&gt;"","组"&amp;G6,"")&amp;"，","")&amp;"出价方式"&amp;H6&amp;IF(I6&lt;&gt;"","，出价"&amp;I6&amp;"元","")&amp;"，"&amp;"素材库"&amp;K6&amp;"，落地页"&amp;L6&amp;"，文案库"&amp;M6&amp;"，"&amp;N6&amp;"，"&amp;IF(V6&lt;&gt;"",LEFT(V6,LEN(V6)-1),"")&amp;"资源位，"&amp;O6&amp;"，投放时段"&amp;P6&amp;"点"&amp;IF(J6&lt;&gt;"","，"&amp;J6,"")&amp;"，其他默认"</f>
        <v/>
      </c>
    </row>
    <row r="7" ht="26" customHeight="1">
      <c r="A7" s="37" t="n">
        <v>3</v>
      </c>
      <c r="B7" s="38" t="inlineStr">
        <is>
          <t>100</t>
        </is>
      </c>
      <c r="C7" s="38" t="n"/>
      <c r="D7" s="38" t="n"/>
      <c r="E7" s="38" t="n"/>
      <c r="F7" s="38" t="n"/>
      <c r="G7" s="38" t="n"/>
      <c r="H7" s="38" t="inlineStr">
        <is>
          <t>付费</t>
        </is>
      </c>
      <c r="I7" s="38" t="n"/>
      <c r="J7" s="38" t="n"/>
      <c r="K7" s="38" t="inlineStr">
        <is>
          <t>81395</t>
        </is>
      </c>
      <c r="L7" s="38" t="inlineStr">
        <is>
          <t>landing_v2_1388</t>
        </is>
      </c>
      <c r="M7" s="38" t="inlineStr">
        <is>
          <t>431</t>
        </is>
      </c>
      <c r="N7" s="38" t="inlineStr">
        <is>
          <t>双端设备</t>
        </is>
      </c>
      <c r="O7" s="38" t="inlineStr">
        <is>
          <t>过滤</t>
        </is>
      </c>
      <c r="P7" s="38" t="inlineStr">
        <is>
          <t>7-22</t>
        </is>
      </c>
      <c r="Q7" s="38" t="inlineStr">
        <is>
          <t>是</t>
        </is>
      </c>
      <c r="R7" s="38" t="inlineStr">
        <is>
          <t>否</t>
        </is>
      </c>
      <c r="S7" s="38" t="inlineStr">
        <is>
          <t>否</t>
        </is>
      </c>
      <c r="T7" s="38" t="inlineStr">
        <is>
          <t>否</t>
        </is>
      </c>
      <c r="U7" s="38" t="inlineStr">
        <is>
          <t>否</t>
        </is>
      </c>
      <c r="V7" s="16">
        <f>IF(Q7="是","优选,","")&amp;IF(R7="是","上下滑,","")&amp;IF(S7="是","激励,","")&amp;IF(T7="是","联盟,","")&amp;IF(U7="是","开屏,","")</f>
        <v/>
      </c>
      <c r="W7" s="39">
        <f>"使用ks-create-ad-script基建"&amp;B7&amp;"组快手广告，"&amp;"账户ID为"&amp;C7&amp;"，任务ID "&amp;D7&amp;"，"&amp;IF(E7&lt;&gt;"","参考"&amp;E7&amp;"账户原来的计划"&amp;F7&amp;IF(G7&lt;&gt;"","组"&amp;G7,"")&amp;"，","")&amp;"出价方式"&amp;H7&amp;IF(I7&lt;&gt;"","，出价"&amp;I7&amp;"元","")&amp;"，"&amp;"素材库"&amp;K7&amp;"，落地页"&amp;L7&amp;"，文案库"&amp;M7&amp;"，"&amp;N7&amp;"，"&amp;IF(V7&lt;&gt;"",LEFT(V7,LEN(V7)-1),"")&amp;"资源位，"&amp;O7&amp;"，投放时段"&amp;P7&amp;"点"&amp;IF(J7&lt;&gt;"","，"&amp;J7,"")&amp;"，其他默认"</f>
        <v/>
      </c>
    </row>
    <row r="8" ht="26" customHeight="1">
      <c r="A8" s="37" t="n">
        <v>4</v>
      </c>
      <c r="B8" s="38" t="inlineStr">
        <is>
          <t>100</t>
        </is>
      </c>
      <c r="C8" s="38" t="n"/>
      <c r="D8" s="38" t="n"/>
      <c r="E8" s="38" t="n"/>
      <c r="F8" s="38" t="n"/>
      <c r="G8" s="38" t="n"/>
      <c r="H8" s="38" t="inlineStr">
        <is>
          <t>付费</t>
        </is>
      </c>
      <c r="I8" s="38" t="n"/>
      <c r="J8" s="38" t="n"/>
      <c r="K8" s="38" t="inlineStr">
        <is>
          <t>81395</t>
        </is>
      </c>
      <c r="L8" s="38" t="inlineStr">
        <is>
          <t>landing_v2_1388</t>
        </is>
      </c>
      <c r="M8" s="38" t="inlineStr">
        <is>
          <t>431</t>
        </is>
      </c>
      <c r="N8" s="38" t="inlineStr">
        <is>
          <t>双端设备</t>
        </is>
      </c>
      <c r="O8" s="38" t="inlineStr">
        <is>
          <t>过滤</t>
        </is>
      </c>
      <c r="P8" s="38" t="inlineStr">
        <is>
          <t>7-22</t>
        </is>
      </c>
      <c r="Q8" s="38" t="inlineStr">
        <is>
          <t>是</t>
        </is>
      </c>
      <c r="R8" s="38" t="inlineStr">
        <is>
          <t>否</t>
        </is>
      </c>
      <c r="S8" s="38" t="inlineStr">
        <is>
          <t>否</t>
        </is>
      </c>
      <c r="T8" s="38" t="inlineStr">
        <is>
          <t>否</t>
        </is>
      </c>
      <c r="U8" s="38" t="inlineStr">
        <is>
          <t>否</t>
        </is>
      </c>
      <c r="V8" s="16">
        <f>IF(Q8="是","优选,","")&amp;IF(R8="是","上下滑,","")&amp;IF(S8="是","激励,","")&amp;IF(T8="是","联盟,","")&amp;IF(U8="是","开屏,","")</f>
        <v/>
      </c>
      <c r="W8" s="39">
        <f>"使用ks-create-ad-script基建"&amp;B8&amp;"组快手广告，"&amp;"账户ID为"&amp;C8&amp;"，任务ID "&amp;D8&amp;"，"&amp;IF(E8&lt;&gt;"","参考"&amp;E8&amp;"账户原来的计划"&amp;F8&amp;IF(G8&lt;&gt;"","组"&amp;G8,"")&amp;"，","")&amp;"出价方式"&amp;H8&amp;IF(I8&lt;&gt;"","，出价"&amp;I8&amp;"元","")&amp;"，"&amp;"素材库"&amp;K8&amp;"，落地页"&amp;L8&amp;"，文案库"&amp;M8&amp;"，"&amp;N8&amp;"，"&amp;IF(V8&lt;&gt;"",LEFT(V8,LEN(V8)-1),"")&amp;"资源位，"&amp;O8&amp;"，投放时段"&amp;P8&amp;"点"&amp;IF(J8&lt;&gt;"","，"&amp;J8,"")&amp;"，其他默认"</f>
        <v/>
      </c>
    </row>
    <row r="9" ht="26" customHeight="1">
      <c r="A9" s="37" t="n">
        <v>5</v>
      </c>
      <c r="B9" s="38" t="inlineStr">
        <is>
          <t>100</t>
        </is>
      </c>
      <c r="C9" s="38" t="n"/>
      <c r="D9" s="38" t="n"/>
      <c r="E9" s="38" t="n"/>
      <c r="F9" s="38" t="n"/>
      <c r="G9" s="38" t="n"/>
      <c r="H9" s="38" t="inlineStr">
        <is>
          <t>付费</t>
        </is>
      </c>
      <c r="I9" s="38" t="n"/>
      <c r="J9" s="38" t="n"/>
      <c r="K9" s="38" t="inlineStr">
        <is>
          <t>81395</t>
        </is>
      </c>
      <c r="L9" s="38" t="inlineStr">
        <is>
          <t>landing_v2_1388</t>
        </is>
      </c>
      <c r="M9" s="38" t="inlineStr">
        <is>
          <t>431</t>
        </is>
      </c>
      <c r="N9" s="38" t="inlineStr">
        <is>
          <t>双端设备</t>
        </is>
      </c>
      <c r="O9" s="38" t="inlineStr">
        <is>
          <t>过滤</t>
        </is>
      </c>
      <c r="P9" s="38" t="inlineStr">
        <is>
          <t>7-22</t>
        </is>
      </c>
      <c r="Q9" s="38" t="inlineStr">
        <is>
          <t>是</t>
        </is>
      </c>
      <c r="R9" s="38" t="inlineStr">
        <is>
          <t>否</t>
        </is>
      </c>
      <c r="S9" s="38" t="inlineStr">
        <is>
          <t>否</t>
        </is>
      </c>
      <c r="T9" s="38" t="inlineStr">
        <is>
          <t>否</t>
        </is>
      </c>
      <c r="U9" s="38" t="inlineStr">
        <is>
          <t>否</t>
        </is>
      </c>
      <c r="V9" s="16">
        <f>IF(Q9="是","优选,","")&amp;IF(R9="是","上下滑,","")&amp;IF(S9="是","激励,","")&amp;IF(T9="是","联盟,","")&amp;IF(U9="是","开屏,","")</f>
        <v/>
      </c>
      <c r="W9" s="39">
        <f>"使用ks-create-ad-script基建"&amp;B9&amp;"组快手广告，"&amp;"账户ID为"&amp;C9&amp;"，任务ID "&amp;D9&amp;"，"&amp;IF(E9&lt;&gt;"","参考"&amp;E9&amp;"账户原来的计划"&amp;F9&amp;IF(G9&lt;&gt;"","组"&amp;G9,"")&amp;"，","")&amp;"出价方式"&amp;H9&amp;IF(I9&lt;&gt;"","，出价"&amp;I9&amp;"元","")&amp;"，"&amp;"素材库"&amp;K9&amp;"，落地页"&amp;L9&amp;"，文案库"&amp;M9&amp;"，"&amp;N9&amp;"，"&amp;IF(V9&lt;&gt;"",LEFT(V9,LEN(V9)-1),"")&amp;"资源位，"&amp;O9&amp;"，投放时段"&amp;P9&amp;"点"&amp;IF(J9&lt;&gt;"","，"&amp;J9,"")&amp;"，其他默认"</f>
        <v/>
      </c>
    </row>
    <row r="10" ht="26" customHeight="1">
      <c r="A10" s="37" t="n">
        <v>6</v>
      </c>
      <c r="B10" s="38" t="inlineStr">
        <is>
          <t>100</t>
        </is>
      </c>
      <c r="C10" s="38" t="n"/>
      <c r="D10" s="38" t="n"/>
      <c r="E10" s="38" t="n"/>
      <c r="F10" s="38" t="n"/>
      <c r="G10" s="38" t="n"/>
      <c r="H10" s="38" t="inlineStr">
        <is>
          <t>付费</t>
        </is>
      </c>
      <c r="I10" s="38" t="n"/>
      <c r="J10" s="38" t="n"/>
      <c r="K10" s="38" t="inlineStr">
        <is>
          <t>81395</t>
        </is>
      </c>
      <c r="L10" s="38" t="inlineStr">
        <is>
          <t>landing_v2_1388</t>
        </is>
      </c>
      <c r="M10" s="38" t="inlineStr">
        <is>
          <t>431</t>
        </is>
      </c>
      <c r="N10" s="38" t="inlineStr">
        <is>
          <t>双端设备</t>
        </is>
      </c>
      <c r="O10" s="38" t="inlineStr">
        <is>
          <t>过滤</t>
        </is>
      </c>
      <c r="P10" s="38" t="inlineStr">
        <is>
          <t>7-22</t>
        </is>
      </c>
      <c r="Q10" s="38" t="inlineStr">
        <is>
          <t>是</t>
        </is>
      </c>
      <c r="R10" s="38" t="inlineStr">
        <is>
          <t>否</t>
        </is>
      </c>
      <c r="S10" s="38" t="inlineStr">
        <is>
          <t>否</t>
        </is>
      </c>
      <c r="T10" s="38" t="inlineStr">
        <is>
          <t>否</t>
        </is>
      </c>
      <c r="U10" s="38" t="inlineStr">
        <is>
          <t>否</t>
        </is>
      </c>
      <c r="V10" s="16">
        <f>IF(Q10="是","优选,","")&amp;IF(R10="是","上下滑,","")&amp;IF(S10="是","激励,","")&amp;IF(T10="是","联盟,","")&amp;IF(U10="是","开屏,","")</f>
        <v/>
      </c>
      <c r="W10" s="39">
        <f>"使用ks-create-ad-script基建"&amp;B10&amp;"组快手广告，"&amp;"账户ID为"&amp;C10&amp;"，任务ID "&amp;D10&amp;"，"&amp;IF(E10&lt;&gt;"","参考"&amp;E10&amp;"账户原来的计划"&amp;F10&amp;IF(G10&lt;&gt;"","组"&amp;G10,"")&amp;"，","")&amp;"出价方式"&amp;H10&amp;IF(I10&lt;&gt;"","，出价"&amp;I10&amp;"元","")&amp;"，"&amp;"素材库"&amp;K10&amp;"，落地页"&amp;L10&amp;"，文案库"&amp;M10&amp;"，"&amp;N10&amp;"，"&amp;IF(V10&lt;&gt;"",LEFT(V10,LEN(V10)-1),"")&amp;"资源位，"&amp;O10&amp;"，投放时段"&amp;P10&amp;"点"&amp;IF(J10&lt;&gt;"","，"&amp;J10,"")&amp;"，其他默认"</f>
        <v/>
      </c>
    </row>
    <row r="11" ht="26" customHeight="1">
      <c r="A11" s="37" t="n">
        <v>7</v>
      </c>
      <c r="B11" s="38" t="inlineStr">
        <is>
          <t>100</t>
        </is>
      </c>
      <c r="C11" s="38" t="n"/>
      <c r="D11" s="38" t="n"/>
      <c r="E11" s="38" t="n"/>
      <c r="F11" s="38" t="n"/>
      <c r="G11" s="38" t="n"/>
      <c r="H11" s="38" t="inlineStr">
        <is>
          <t>付费</t>
        </is>
      </c>
      <c r="I11" s="38" t="n"/>
      <c r="J11" s="38" t="n"/>
      <c r="K11" s="38" t="inlineStr">
        <is>
          <t>81395</t>
        </is>
      </c>
      <c r="L11" s="38" t="inlineStr">
        <is>
          <t>landing_v2_1388</t>
        </is>
      </c>
      <c r="M11" s="38" t="inlineStr">
        <is>
          <t>431</t>
        </is>
      </c>
      <c r="N11" s="38" t="inlineStr">
        <is>
          <t>双端设备</t>
        </is>
      </c>
      <c r="O11" s="38" t="inlineStr">
        <is>
          <t>过滤</t>
        </is>
      </c>
      <c r="P11" s="38" t="inlineStr">
        <is>
          <t>7-22</t>
        </is>
      </c>
      <c r="Q11" s="38" t="inlineStr">
        <is>
          <t>是</t>
        </is>
      </c>
      <c r="R11" s="38" t="inlineStr">
        <is>
          <t>否</t>
        </is>
      </c>
      <c r="S11" s="38" t="inlineStr">
        <is>
          <t>否</t>
        </is>
      </c>
      <c r="T11" s="38" t="inlineStr">
        <is>
          <t>否</t>
        </is>
      </c>
      <c r="U11" s="38" t="inlineStr">
        <is>
          <t>否</t>
        </is>
      </c>
      <c r="V11" s="16">
        <f>IF(Q11="是","优选,","")&amp;IF(R11="是","上下滑,","")&amp;IF(S11="是","激励,","")&amp;IF(T11="是","联盟,","")&amp;IF(U11="是","开屏,","")</f>
        <v/>
      </c>
      <c r="W11" s="39">
        <f>"使用ks-create-ad-script基建"&amp;B11&amp;"组快手广告，"&amp;"账户ID为"&amp;C11&amp;"，任务ID "&amp;D11&amp;"，"&amp;IF(E11&lt;&gt;"","参考"&amp;E11&amp;"账户原来的计划"&amp;F11&amp;IF(G11&lt;&gt;"","组"&amp;G11,"")&amp;"，","")&amp;"出价方式"&amp;H11&amp;IF(I11&lt;&gt;"","，出价"&amp;I11&amp;"元","")&amp;"，"&amp;"素材库"&amp;K11&amp;"，落地页"&amp;L11&amp;"，文案库"&amp;M11&amp;"，"&amp;N11&amp;"，"&amp;IF(V11&lt;&gt;"",LEFT(V11,LEN(V11)-1),"")&amp;"资源位，"&amp;O11&amp;"，投放时段"&amp;P11&amp;"点"&amp;IF(J11&lt;&gt;"","，"&amp;J11,"")&amp;"，其他默认"</f>
        <v/>
      </c>
    </row>
    <row r="12" ht="26" customHeight="1">
      <c r="A12" s="37" t="n">
        <v>8</v>
      </c>
      <c r="B12" s="38" t="inlineStr">
        <is>
          <t>100</t>
        </is>
      </c>
      <c r="C12" s="38" t="n"/>
      <c r="D12" s="38" t="n"/>
      <c r="E12" s="38" t="n"/>
      <c r="F12" s="38" t="n"/>
      <c r="G12" s="38" t="n"/>
      <c r="H12" s="38" t="inlineStr">
        <is>
          <t>付费</t>
        </is>
      </c>
      <c r="I12" s="38" t="n"/>
      <c r="J12" s="38" t="n"/>
      <c r="K12" s="38" t="inlineStr">
        <is>
          <t>81395</t>
        </is>
      </c>
      <c r="L12" s="38" t="inlineStr">
        <is>
          <t>landing_v2_1388</t>
        </is>
      </c>
      <c r="M12" s="38" t="inlineStr">
        <is>
          <t>431</t>
        </is>
      </c>
      <c r="N12" s="38" t="inlineStr">
        <is>
          <t>双端设备</t>
        </is>
      </c>
      <c r="O12" s="38" t="inlineStr">
        <is>
          <t>过滤</t>
        </is>
      </c>
      <c r="P12" s="38" t="inlineStr">
        <is>
          <t>7-22</t>
        </is>
      </c>
      <c r="Q12" s="38" t="inlineStr">
        <is>
          <t>是</t>
        </is>
      </c>
      <c r="R12" s="38" t="inlineStr">
        <is>
          <t>否</t>
        </is>
      </c>
      <c r="S12" s="38" t="inlineStr">
        <is>
          <t>否</t>
        </is>
      </c>
      <c r="T12" s="38" t="inlineStr">
        <is>
          <t>否</t>
        </is>
      </c>
      <c r="U12" s="38" t="inlineStr">
        <is>
          <t>否</t>
        </is>
      </c>
      <c r="V12" s="16">
        <f>IF(Q12="是","优选,","")&amp;IF(R12="是","上下滑,","")&amp;IF(S12="是","激励,","")&amp;IF(T12="是","联盟,","")&amp;IF(U12="是","开屏,","")</f>
        <v/>
      </c>
      <c r="W12" s="39">
        <f>"使用ks-create-ad-script基建"&amp;B12&amp;"组快手广告，"&amp;"账户ID为"&amp;C12&amp;"，任务ID "&amp;D12&amp;"，"&amp;IF(E12&lt;&gt;"","参考"&amp;E12&amp;"账户原来的计划"&amp;F12&amp;IF(G12&lt;&gt;"","组"&amp;G12,"")&amp;"，","")&amp;"出价方式"&amp;H12&amp;IF(I12&lt;&gt;"","，出价"&amp;I12&amp;"元","")&amp;"，"&amp;"素材库"&amp;K12&amp;"，落地页"&amp;L12&amp;"，文案库"&amp;M12&amp;"，"&amp;N12&amp;"，"&amp;IF(V12&lt;&gt;"",LEFT(V12,LEN(V12)-1),"")&amp;"资源位，"&amp;O12&amp;"，投放时段"&amp;P12&amp;"点"&amp;IF(J12&lt;&gt;"","，"&amp;J12,"")&amp;"，其他默认"</f>
        <v/>
      </c>
    </row>
    <row r="13" ht="26" customHeight="1">
      <c r="A13" s="37" t="n">
        <v>9</v>
      </c>
      <c r="B13" s="38" t="inlineStr">
        <is>
          <t>100</t>
        </is>
      </c>
      <c r="C13" s="38" t="n"/>
      <c r="D13" s="38" t="n"/>
      <c r="E13" s="38" t="n"/>
      <c r="F13" s="38" t="n"/>
      <c r="G13" s="38" t="n"/>
      <c r="H13" s="38" t="inlineStr">
        <is>
          <t>付费</t>
        </is>
      </c>
      <c r="I13" s="38" t="n"/>
      <c r="J13" s="38" t="n"/>
      <c r="K13" s="38" t="inlineStr">
        <is>
          <t>81395</t>
        </is>
      </c>
      <c r="L13" s="38" t="inlineStr">
        <is>
          <t>landing_v2_1388</t>
        </is>
      </c>
      <c r="M13" s="38" t="inlineStr">
        <is>
          <t>431</t>
        </is>
      </c>
      <c r="N13" s="38" t="inlineStr">
        <is>
          <t>双端设备</t>
        </is>
      </c>
      <c r="O13" s="38" t="inlineStr">
        <is>
          <t>过滤</t>
        </is>
      </c>
      <c r="P13" s="38" t="inlineStr">
        <is>
          <t>7-22</t>
        </is>
      </c>
      <c r="Q13" s="38" t="inlineStr">
        <is>
          <t>是</t>
        </is>
      </c>
      <c r="R13" s="38" t="inlineStr">
        <is>
          <t>否</t>
        </is>
      </c>
      <c r="S13" s="38" t="inlineStr">
        <is>
          <t>否</t>
        </is>
      </c>
      <c r="T13" s="38" t="inlineStr">
        <is>
          <t>否</t>
        </is>
      </c>
      <c r="U13" s="38" t="inlineStr">
        <is>
          <t>否</t>
        </is>
      </c>
      <c r="V13" s="16">
        <f>IF(Q13="是","优选,","")&amp;IF(R13="是","上下滑,","")&amp;IF(S13="是","激励,","")&amp;IF(T13="是","联盟,","")&amp;IF(U13="是","开屏,","")</f>
        <v/>
      </c>
      <c r="W13" s="39">
        <f>"使用ks-create-ad-script基建"&amp;B13&amp;"组快手广告，"&amp;"账户ID为"&amp;C13&amp;"，任务ID "&amp;D13&amp;"，"&amp;IF(E13&lt;&gt;"","参考"&amp;E13&amp;"账户原来的计划"&amp;F13&amp;IF(G13&lt;&gt;"","组"&amp;G13,"")&amp;"，","")&amp;"出价方式"&amp;H13&amp;IF(I13&lt;&gt;"","，出价"&amp;I13&amp;"元","")&amp;"，"&amp;"素材库"&amp;K13&amp;"，落地页"&amp;L13&amp;"，文案库"&amp;M13&amp;"，"&amp;N13&amp;"，"&amp;IF(V13&lt;&gt;"",LEFT(V13,LEN(V13)-1),"")&amp;"资源位，"&amp;O13&amp;"，投放时段"&amp;P13&amp;"点"&amp;IF(J13&lt;&gt;"","，"&amp;J13,"")&amp;"，其他默认"</f>
        <v/>
      </c>
    </row>
    <row r="14" ht="26" customHeight="1">
      <c r="A14" s="37" t="n">
        <v>10</v>
      </c>
      <c r="B14" s="38" t="inlineStr">
        <is>
          <t>100</t>
        </is>
      </c>
      <c r="C14" s="38" t="n"/>
      <c r="D14" s="38" t="n"/>
      <c r="E14" s="38" t="n"/>
      <c r="F14" s="38" t="n"/>
      <c r="G14" s="38" t="n"/>
      <c r="H14" s="38" t="inlineStr">
        <is>
          <t>付费</t>
        </is>
      </c>
      <c r="I14" s="38" t="n"/>
      <c r="J14" s="38" t="n"/>
      <c r="K14" s="38" t="inlineStr">
        <is>
          <t>81395</t>
        </is>
      </c>
      <c r="L14" s="38" t="inlineStr">
        <is>
          <t>landing_v2_1388</t>
        </is>
      </c>
      <c r="M14" s="38" t="inlineStr">
        <is>
          <t>431</t>
        </is>
      </c>
      <c r="N14" s="38" t="inlineStr">
        <is>
          <t>双端设备</t>
        </is>
      </c>
      <c r="O14" s="38" t="inlineStr">
        <is>
          <t>过滤</t>
        </is>
      </c>
      <c r="P14" s="38" t="inlineStr">
        <is>
          <t>7-22</t>
        </is>
      </c>
      <c r="Q14" s="38" t="inlineStr">
        <is>
          <t>是</t>
        </is>
      </c>
      <c r="R14" s="38" t="inlineStr">
        <is>
          <t>否</t>
        </is>
      </c>
      <c r="S14" s="38" t="inlineStr">
        <is>
          <t>否</t>
        </is>
      </c>
      <c r="T14" s="38" t="inlineStr">
        <is>
          <t>否</t>
        </is>
      </c>
      <c r="U14" s="38" t="inlineStr">
        <is>
          <t>否</t>
        </is>
      </c>
      <c r="V14" s="16">
        <f>IF(Q14="是","优选,","")&amp;IF(R14="是","上下滑,","")&amp;IF(S14="是","激励,","")&amp;IF(T14="是","联盟,","")&amp;IF(U14="是","开屏,","")</f>
        <v/>
      </c>
      <c r="W14" s="39">
        <f>"使用ks-create-ad-script基建"&amp;B14&amp;"组快手广告，"&amp;"账户ID为"&amp;C14&amp;"，任务ID "&amp;D14&amp;"，"&amp;IF(E14&lt;&gt;"","参考"&amp;E14&amp;"账户原来的计划"&amp;F14&amp;IF(G14&lt;&gt;"","组"&amp;G14,"")&amp;"，","")&amp;"出价方式"&amp;H14&amp;IF(I14&lt;&gt;"","，出价"&amp;I14&amp;"元","")&amp;"，"&amp;"素材库"&amp;K14&amp;"，落地页"&amp;L14&amp;"，文案库"&amp;M14&amp;"，"&amp;N14&amp;"，"&amp;IF(V14&lt;&gt;"",LEFT(V14,LEN(V14)-1),"")&amp;"资源位，"&amp;O14&amp;"，投放时段"&amp;P14&amp;"点"&amp;IF(J14&lt;&gt;"","，"&amp;J14,"")&amp;"，其他默认"</f>
        <v/>
      </c>
    </row>
    <row r="15" ht="26" customHeight="1">
      <c r="A15" s="37" t="n">
        <v>11</v>
      </c>
      <c r="B15" s="38" t="inlineStr">
        <is>
          <t>100</t>
        </is>
      </c>
      <c r="C15" s="38" t="n"/>
      <c r="D15" s="38" t="n"/>
      <c r="E15" s="38" t="n"/>
      <c r="F15" s="38" t="n"/>
      <c r="G15" s="38" t="n"/>
      <c r="H15" s="38" t="inlineStr">
        <is>
          <t>付费</t>
        </is>
      </c>
      <c r="I15" s="38" t="n"/>
      <c r="J15" s="38" t="n"/>
      <c r="K15" s="38" t="inlineStr">
        <is>
          <t>81395</t>
        </is>
      </c>
      <c r="L15" s="38" t="inlineStr">
        <is>
          <t>landing_v2_1388</t>
        </is>
      </c>
      <c r="M15" s="38" t="inlineStr">
        <is>
          <t>431</t>
        </is>
      </c>
      <c r="N15" s="38" t="inlineStr">
        <is>
          <t>双端设备</t>
        </is>
      </c>
      <c r="O15" s="38" t="inlineStr">
        <is>
          <t>过滤</t>
        </is>
      </c>
      <c r="P15" s="38" t="inlineStr">
        <is>
          <t>7-22</t>
        </is>
      </c>
      <c r="Q15" s="38" t="inlineStr">
        <is>
          <t>是</t>
        </is>
      </c>
      <c r="R15" s="38" t="inlineStr">
        <is>
          <t>否</t>
        </is>
      </c>
      <c r="S15" s="38" t="inlineStr">
        <is>
          <t>否</t>
        </is>
      </c>
      <c r="T15" s="38" t="inlineStr">
        <is>
          <t>否</t>
        </is>
      </c>
      <c r="U15" s="38" t="inlineStr">
        <is>
          <t>否</t>
        </is>
      </c>
      <c r="V15" s="16">
        <f>IF(Q15="是","优选,","")&amp;IF(R15="是","上下滑,","")&amp;IF(S15="是","激励,","")&amp;IF(T15="是","联盟,","")&amp;IF(U15="是","开屏,","")</f>
        <v/>
      </c>
      <c r="W15" s="39">
        <f>"使用ks-create-ad-script基建"&amp;B15&amp;"组快手广告，"&amp;"账户ID为"&amp;C15&amp;"，任务ID "&amp;D15&amp;"，"&amp;IF(E15&lt;&gt;"","参考"&amp;E15&amp;"账户原来的计划"&amp;F15&amp;IF(G15&lt;&gt;"","组"&amp;G15,"")&amp;"，","")&amp;"出价方式"&amp;H15&amp;IF(I15&lt;&gt;"","，出价"&amp;I15&amp;"元","")&amp;"，"&amp;"素材库"&amp;K15&amp;"，落地页"&amp;L15&amp;"，文案库"&amp;M15&amp;"，"&amp;N15&amp;"，"&amp;IF(V15&lt;&gt;"",LEFT(V15,LEN(V15)-1),"")&amp;"资源位，"&amp;O15&amp;"，投放时段"&amp;P15&amp;"点"&amp;IF(J15&lt;&gt;"","，"&amp;J15,"")&amp;"，其他默认"</f>
        <v/>
      </c>
    </row>
    <row r="16" ht="26" customHeight="1">
      <c r="A16" s="37" t="n">
        <v>12</v>
      </c>
      <c r="B16" s="38" t="inlineStr">
        <is>
          <t>100</t>
        </is>
      </c>
      <c r="C16" s="38" t="n"/>
      <c r="D16" s="38" t="n"/>
      <c r="E16" s="38" t="n"/>
      <c r="F16" s="38" t="n"/>
      <c r="G16" s="38" t="n"/>
      <c r="H16" s="38" t="inlineStr">
        <is>
          <t>付费</t>
        </is>
      </c>
      <c r="I16" s="38" t="n"/>
      <c r="J16" s="38" t="n"/>
      <c r="K16" s="38" t="inlineStr">
        <is>
          <t>81395</t>
        </is>
      </c>
      <c r="L16" s="38" t="inlineStr">
        <is>
          <t>landing_v2_1388</t>
        </is>
      </c>
      <c r="M16" s="38" t="inlineStr">
        <is>
          <t>431</t>
        </is>
      </c>
      <c r="N16" s="38" t="inlineStr">
        <is>
          <t>双端设备</t>
        </is>
      </c>
      <c r="O16" s="38" t="inlineStr">
        <is>
          <t>过滤</t>
        </is>
      </c>
      <c r="P16" s="38" t="inlineStr">
        <is>
          <t>7-22</t>
        </is>
      </c>
      <c r="Q16" s="38" t="inlineStr">
        <is>
          <t>是</t>
        </is>
      </c>
      <c r="R16" s="38" t="inlineStr">
        <is>
          <t>否</t>
        </is>
      </c>
      <c r="S16" s="38" t="inlineStr">
        <is>
          <t>否</t>
        </is>
      </c>
      <c r="T16" s="38" t="inlineStr">
        <is>
          <t>否</t>
        </is>
      </c>
      <c r="U16" s="38" t="inlineStr">
        <is>
          <t>否</t>
        </is>
      </c>
      <c r="V16" s="16">
        <f>IF(Q16="是","优选,","")&amp;IF(R16="是","上下滑,","")&amp;IF(S16="是","激励,","")&amp;IF(T16="是","联盟,","")&amp;IF(U16="是","开屏,","")</f>
        <v/>
      </c>
      <c r="W16" s="39">
        <f>"使用ks-create-ad-script基建"&amp;B16&amp;"组快手广告，"&amp;"账户ID为"&amp;C16&amp;"，任务ID "&amp;D16&amp;"，"&amp;IF(E16&lt;&gt;"","参考"&amp;E16&amp;"账户原来的计划"&amp;F16&amp;IF(G16&lt;&gt;"","组"&amp;G16,"")&amp;"，","")&amp;"出价方式"&amp;H16&amp;IF(I16&lt;&gt;"","，出价"&amp;I16&amp;"元","")&amp;"，"&amp;"素材库"&amp;K16&amp;"，落地页"&amp;L16&amp;"，文案库"&amp;M16&amp;"，"&amp;N16&amp;"，"&amp;IF(V16&lt;&gt;"",LEFT(V16,LEN(V16)-1),"")&amp;"资源位，"&amp;O16&amp;"，投放时段"&amp;P16&amp;"点"&amp;IF(J16&lt;&gt;"","，"&amp;J16,"")&amp;"，其他默认"</f>
        <v/>
      </c>
    </row>
    <row r="17" ht="26" customHeight="1">
      <c r="A17" s="37" t="n">
        <v>13</v>
      </c>
      <c r="B17" s="38" t="inlineStr">
        <is>
          <t>100</t>
        </is>
      </c>
      <c r="C17" s="38" t="n"/>
      <c r="D17" s="38" t="n"/>
      <c r="E17" s="38" t="n"/>
      <c r="F17" s="38" t="n"/>
      <c r="G17" s="38" t="n"/>
      <c r="H17" s="38" t="inlineStr">
        <is>
          <t>付费</t>
        </is>
      </c>
      <c r="I17" s="38" t="n"/>
      <c r="J17" s="38" t="n"/>
      <c r="K17" s="38" t="inlineStr">
        <is>
          <t>81395</t>
        </is>
      </c>
      <c r="L17" s="38" t="inlineStr">
        <is>
          <t>landing_v2_1388</t>
        </is>
      </c>
      <c r="M17" s="38" t="inlineStr">
        <is>
          <t>431</t>
        </is>
      </c>
      <c r="N17" s="38" t="inlineStr">
        <is>
          <t>双端设备</t>
        </is>
      </c>
      <c r="O17" s="38" t="inlineStr">
        <is>
          <t>过滤</t>
        </is>
      </c>
      <c r="P17" s="38" t="inlineStr">
        <is>
          <t>7-22</t>
        </is>
      </c>
      <c r="Q17" s="38" t="inlineStr">
        <is>
          <t>是</t>
        </is>
      </c>
      <c r="R17" s="38" t="inlineStr">
        <is>
          <t>否</t>
        </is>
      </c>
      <c r="S17" s="38" t="inlineStr">
        <is>
          <t>否</t>
        </is>
      </c>
      <c r="T17" s="38" t="inlineStr">
        <is>
          <t>否</t>
        </is>
      </c>
      <c r="U17" s="38" t="inlineStr">
        <is>
          <t>否</t>
        </is>
      </c>
      <c r="V17" s="16">
        <f>IF(Q17="是","优选,","")&amp;IF(R17="是","上下滑,","")&amp;IF(S17="是","激励,","")&amp;IF(T17="是","联盟,","")&amp;IF(U17="是","开屏,","")</f>
        <v/>
      </c>
      <c r="W17" s="39">
        <f>"使用ks-create-ad-script基建"&amp;B17&amp;"组快手广告，"&amp;"账户ID为"&amp;C17&amp;"，任务ID "&amp;D17&amp;"，"&amp;IF(E17&lt;&gt;"","参考"&amp;E17&amp;"账户原来的计划"&amp;F17&amp;IF(G17&lt;&gt;"","组"&amp;G17,"")&amp;"，","")&amp;"出价方式"&amp;H17&amp;IF(I17&lt;&gt;"","，出价"&amp;I17&amp;"元","")&amp;"，"&amp;"素材库"&amp;K17&amp;"，落地页"&amp;L17&amp;"，文案库"&amp;M17&amp;"，"&amp;N17&amp;"，"&amp;IF(V17&lt;&gt;"",LEFT(V17,LEN(V17)-1),"")&amp;"资源位，"&amp;O17&amp;"，投放时段"&amp;P17&amp;"点"&amp;IF(J17&lt;&gt;"","，"&amp;J17,"")&amp;"，其他默认"</f>
        <v/>
      </c>
    </row>
    <row r="18" ht="26" customHeight="1">
      <c r="A18" s="37" t="n">
        <v>14</v>
      </c>
      <c r="B18" s="38" t="inlineStr">
        <is>
          <t>100</t>
        </is>
      </c>
      <c r="C18" s="38" t="n"/>
      <c r="D18" s="38" t="n"/>
      <c r="E18" s="38" t="n"/>
      <c r="F18" s="38" t="n"/>
      <c r="G18" s="38" t="n"/>
      <c r="H18" s="38" t="inlineStr">
        <is>
          <t>付费</t>
        </is>
      </c>
      <c r="I18" s="38" t="n"/>
      <c r="J18" s="38" t="n"/>
      <c r="K18" s="38" t="inlineStr">
        <is>
          <t>81395</t>
        </is>
      </c>
      <c r="L18" s="38" t="inlineStr">
        <is>
          <t>landing_v2_1388</t>
        </is>
      </c>
      <c r="M18" s="38" t="inlineStr">
        <is>
          <t>431</t>
        </is>
      </c>
      <c r="N18" s="38" t="inlineStr">
        <is>
          <t>双端设备</t>
        </is>
      </c>
      <c r="O18" s="38" t="inlineStr">
        <is>
          <t>过滤</t>
        </is>
      </c>
      <c r="P18" s="38" t="inlineStr">
        <is>
          <t>7-22</t>
        </is>
      </c>
      <c r="Q18" s="38" t="inlineStr">
        <is>
          <t>是</t>
        </is>
      </c>
      <c r="R18" s="38" t="inlineStr">
        <is>
          <t>否</t>
        </is>
      </c>
      <c r="S18" s="38" t="inlineStr">
        <is>
          <t>否</t>
        </is>
      </c>
      <c r="T18" s="38" t="inlineStr">
        <is>
          <t>否</t>
        </is>
      </c>
      <c r="U18" s="38" t="inlineStr">
        <is>
          <t>否</t>
        </is>
      </c>
      <c r="V18" s="16">
        <f>IF(Q18="是","优选,","")&amp;IF(R18="是","上下滑,","")&amp;IF(S18="是","激励,","")&amp;IF(T18="是","联盟,","")&amp;IF(U18="是","开屏,","")</f>
        <v/>
      </c>
      <c r="W18" s="39">
        <f>"使用ks-create-ad-script基建"&amp;B18&amp;"组快手广告，"&amp;"账户ID为"&amp;C18&amp;"，任务ID "&amp;D18&amp;"，"&amp;IF(E18&lt;&gt;"","参考"&amp;E18&amp;"账户原来的计划"&amp;F18&amp;IF(G18&lt;&gt;"","组"&amp;G18,"")&amp;"，","")&amp;"出价方式"&amp;H18&amp;IF(I18&lt;&gt;"","，出价"&amp;I18&amp;"元","")&amp;"，"&amp;"素材库"&amp;K18&amp;"，落地页"&amp;L18&amp;"，文案库"&amp;M18&amp;"，"&amp;N18&amp;"，"&amp;IF(V18&lt;&gt;"",LEFT(V18,LEN(V18)-1),"")&amp;"资源位，"&amp;O18&amp;"，投放时段"&amp;P18&amp;"点"&amp;IF(J18&lt;&gt;"","，"&amp;J18,"")&amp;"，其他默认"</f>
        <v/>
      </c>
    </row>
    <row r="19" ht="26" customHeight="1">
      <c r="A19" s="37" t="n">
        <v>15</v>
      </c>
      <c r="B19" s="38" t="inlineStr">
        <is>
          <t>100</t>
        </is>
      </c>
      <c r="C19" s="38" t="n"/>
      <c r="D19" s="38" t="n"/>
      <c r="E19" s="38" t="n"/>
      <c r="F19" s="38" t="n"/>
      <c r="G19" s="38" t="n"/>
      <c r="H19" s="38" t="inlineStr">
        <is>
          <t>付费</t>
        </is>
      </c>
      <c r="I19" s="38" t="n"/>
      <c r="J19" s="38" t="n"/>
      <c r="K19" s="38" t="inlineStr">
        <is>
          <t>81395</t>
        </is>
      </c>
      <c r="L19" s="38" t="inlineStr">
        <is>
          <t>landing_v2_1388</t>
        </is>
      </c>
      <c r="M19" s="38" t="inlineStr">
        <is>
          <t>431</t>
        </is>
      </c>
      <c r="N19" s="38" t="inlineStr">
        <is>
          <t>双端设备</t>
        </is>
      </c>
      <c r="O19" s="38" t="inlineStr">
        <is>
          <t>过滤</t>
        </is>
      </c>
      <c r="P19" s="38" t="inlineStr">
        <is>
          <t>7-22</t>
        </is>
      </c>
      <c r="Q19" s="38" t="inlineStr">
        <is>
          <t>是</t>
        </is>
      </c>
      <c r="R19" s="38" t="inlineStr">
        <is>
          <t>否</t>
        </is>
      </c>
      <c r="S19" s="38" t="inlineStr">
        <is>
          <t>否</t>
        </is>
      </c>
      <c r="T19" s="38" t="inlineStr">
        <is>
          <t>否</t>
        </is>
      </c>
      <c r="U19" s="38" t="inlineStr">
        <is>
          <t>否</t>
        </is>
      </c>
      <c r="V19" s="16">
        <f>IF(Q19="是","优选,","")&amp;IF(R19="是","上下滑,","")&amp;IF(S19="是","激励,","")&amp;IF(T19="是","联盟,","")&amp;IF(U19="是","开屏,","")</f>
        <v/>
      </c>
      <c r="W19" s="39">
        <f>"使用ks-create-ad-script基建"&amp;B19&amp;"组快手广告，"&amp;"账户ID为"&amp;C19&amp;"，任务ID "&amp;D19&amp;"，"&amp;IF(E19&lt;&gt;"","参考"&amp;E19&amp;"账户原来的计划"&amp;F19&amp;IF(G19&lt;&gt;"","组"&amp;G19,"")&amp;"，","")&amp;"出价方式"&amp;H19&amp;IF(I19&lt;&gt;"","，出价"&amp;I19&amp;"元","")&amp;"，"&amp;"素材库"&amp;K19&amp;"，落地页"&amp;L19&amp;"，文案库"&amp;M19&amp;"，"&amp;N19&amp;"，"&amp;IF(V19&lt;&gt;"",LEFT(V19,LEN(V19)-1),"")&amp;"资源位，"&amp;O19&amp;"，投放时段"&amp;P19&amp;"点"&amp;IF(J19&lt;&gt;"","，"&amp;J19,"")&amp;"，其他默认"</f>
        <v/>
      </c>
    </row>
    <row r="20" ht="26" customHeight="1">
      <c r="A20" s="37" t="n">
        <v>16</v>
      </c>
      <c r="B20" s="38" t="inlineStr">
        <is>
          <t>100</t>
        </is>
      </c>
      <c r="C20" s="38" t="n"/>
      <c r="D20" s="38" t="n"/>
      <c r="E20" s="38" t="n"/>
      <c r="F20" s="38" t="n"/>
      <c r="G20" s="38" t="n"/>
      <c r="H20" s="38" t="inlineStr">
        <is>
          <t>付费</t>
        </is>
      </c>
      <c r="I20" s="38" t="n"/>
      <c r="J20" s="38" t="n"/>
      <c r="K20" s="38" t="inlineStr">
        <is>
          <t>81395</t>
        </is>
      </c>
      <c r="L20" s="38" t="inlineStr">
        <is>
          <t>landing_v2_1388</t>
        </is>
      </c>
      <c r="M20" s="38" t="inlineStr">
        <is>
          <t>431</t>
        </is>
      </c>
      <c r="N20" s="38" t="inlineStr">
        <is>
          <t>双端设备</t>
        </is>
      </c>
      <c r="O20" s="38" t="inlineStr">
        <is>
          <t>过滤</t>
        </is>
      </c>
      <c r="P20" s="38" t="inlineStr">
        <is>
          <t>7-22</t>
        </is>
      </c>
      <c r="Q20" s="38" t="inlineStr">
        <is>
          <t>是</t>
        </is>
      </c>
      <c r="R20" s="38" t="inlineStr">
        <is>
          <t>否</t>
        </is>
      </c>
      <c r="S20" s="38" t="inlineStr">
        <is>
          <t>否</t>
        </is>
      </c>
      <c r="T20" s="38" t="inlineStr">
        <is>
          <t>否</t>
        </is>
      </c>
      <c r="U20" s="38" t="inlineStr">
        <is>
          <t>否</t>
        </is>
      </c>
      <c r="V20" s="16">
        <f>IF(Q20="是","优选,","")&amp;IF(R20="是","上下滑,","")&amp;IF(S20="是","激励,","")&amp;IF(T20="是","联盟,","")&amp;IF(U20="是","开屏,","")</f>
        <v/>
      </c>
      <c r="W20" s="39">
        <f>"使用ks-create-ad-script基建"&amp;B20&amp;"组快手广告，"&amp;"账户ID为"&amp;C20&amp;"，任务ID "&amp;D20&amp;"，"&amp;IF(E20&lt;&gt;"","参考"&amp;E20&amp;"账户原来的计划"&amp;F20&amp;IF(G20&lt;&gt;"","组"&amp;G20,"")&amp;"，","")&amp;"出价方式"&amp;H20&amp;IF(I20&lt;&gt;"","，出价"&amp;I20&amp;"元","")&amp;"，"&amp;"素材库"&amp;K20&amp;"，落地页"&amp;L20&amp;"，文案库"&amp;M20&amp;"，"&amp;N20&amp;"，"&amp;IF(V20&lt;&gt;"",LEFT(V20,LEN(V20)-1),"")&amp;"资源位，"&amp;O20&amp;"，投放时段"&amp;P20&amp;"点"&amp;IF(J20&lt;&gt;"","，"&amp;J20,"")&amp;"，其他默认"</f>
        <v/>
      </c>
    </row>
    <row r="21" ht="26" customHeight="1">
      <c r="A21" s="37" t="n">
        <v>17</v>
      </c>
      <c r="B21" s="38" t="inlineStr">
        <is>
          <t>100</t>
        </is>
      </c>
      <c r="C21" s="38" t="n"/>
      <c r="D21" s="38" t="n"/>
      <c r="E21" s="38" t="n"/>
      <c r="F21" s="38" t="n"/>
      <c r="G21" s="38" t="n"/>
      <c r="H21" s="38" t="inlineStr">
        <is>
          <t>付费</t>
        </is>
      </c>
      <c r="I21" s="38" t="n"/>
      <c r="J21" s="38" t="n"/>
      <c r="K21" s="38" t="inlineStr">
        <is>
          <t>81395</t>
        </is>
      </c>
      <c r="L21" s="38" t="inlineStr">
        <is>
          <t>landing_v2_1388</t>
        </is>
      </c>
      <c r="M21" s="38" t="inlineStr">
        <is>
          <t>431</t>
        </is>
      </c>
      <c r="N21" s="38" t="inlineStr">
        <is>
          <t>双端设备</t>
        </is>
      </c>
      <c r="O21" s="38" t="inlineStr">
        <is>
          <t>过滤</t>
        </is>
      </c>
      <c r="P21" s="38" t="inlineStr">
        <is>
          <t>7-22</t>
        </is>
      </c>
      <c r="Q21" s="38" t="inlineStr">
        <is>
          <t>是</t>
        </is>
      </c>
      <c r="R21" s="38" t="inlineStr">
        <is>
          <t>否</t>
        </is>
      </c>
      <c r="S21" s="38" t="inlineStr">
        <is>
          <t>否</t>
        </is>
      </c>
      <c r="T21" s="38" t="inlineStr">
        <is>
          <t>否</t>
        </is>
      </c>
      <c r="U21" s="38" t="inlineStr">
        <is>
          <t>否</t>
        </is>
      </c>
      <c r="V21" s="16">
        <f>IF(Q21="是","优选,","")&amp;IF(R21="是","上下滑,","")&amp;IF(S21="是","激励,","")&amp;IF(T21="是","联盟,","")&amp;IF(U21="是","开屏,","")</f>
        <v/>
      </c>
      <c r="W21" s="39">
        <f>"使用ks-create-ad-script基建"&amp;B21&amp;"组快手广告，"&amp;"账户ID为"&amp;C21&amp;"，任务ID "&amp;D21&amp;"，"&amp;IF(E21&lt;&gt;"","参考"&amp;E21&amp;"账户原来的计划"&amp;F21&amp;IF(G21&lt;&gt;"","组"&amp;G21,"")&amp;"，","")&amp;"出价方式"&amp;H21&amp;IF(I21&lt;&gt;"","，出价"&amp;I21&amp;"元","")&amp;"，"&amp;"素材库"&amp;K21&amp;"，落地页"&amp;L21&amp;"，文案库"&amp;M21&amp;"，"&amp;N21&amp;"，"&amp;IF(V21&lt;&gt;"",LEFT(V21,LEN(V21)-1),"")&amp;"资源位，"&amp;O21&amp;"，投放时段"&amp;P21&amp;"点"&amp;IF(J21&lt;&gt;"","，"&amp;J21,"")&amp;"，其他默认"</f>
        <v/>
      </c>
    </row>
    <row r="22" ht="26" customHeight="1">
      <c r="A22" s="37" t="n">
        <v>18</v>
      </c>
      <c r="B22" s="38" t="inlineStr">
        <is>
          <t>100</t>
        </is>
      </c>
      <c r="C22" s="38" t="n"/>
      <c r="D22" s="38" t="n"/>
      <c r="E22" s="38" t="n"/>
      <c r="F22" s="38" t="n"/>
      <c r="G22" s="38" t="n"/>
      <c r="H22" s="38" t="inlineStr">
        <is>
          <t>付费</t>
        </is>
      </c>
      <c r="I22" s="38" t="n"/>
      <c r="J22" s="38" t="n"/>
      <c r="K22" s="38" t="inlineStr">
        <is>
          <t>81395</t>
        </is>
      </c>
      <c r="L22" s="38" t="inlineStr">
        <is>
          <t>landing_v2_1388</t>
        </is>
      </c>
      <c r="M22" s="38" t="inlineStr">
        <is>
          <t>431</t>
        </is>
      </c>
      <c r="N22" s="38" t="inlineStr">
        <is>
          <t>双端设备</t>
        </is>
      </c>
      <c r="O22" s="38" t="inlineStr">
        <is>
          <t>过滤</t>
        </is>
      </c>
      <c r="P22" s="38" t="inlineStr">
        <is>
          <t>7-22</t>
        </is>
      </c>
      <c r="Q22" s="38" t="inlineStr">
        <is>
          <t>是</t>
        </is>
      </c>
      <c r="R22" s="38" t="inlineStr">
        <is>
          <t>否</t>
        </is>
      </c>
      <c r="S22" s="38" t="inlineStr">
        <is>
          <t>否</t>
        </is>
      </c>
      <c r="T22" s="38" t="inlineStr">
        <is>
          <t>否</t>
        </is>
      </c>
      <c r="U22" s="38" t="inlineStr">
        <is>
          <t>否</t>
        </is>
      </c>
      <c r="V22" s="16">
        <f>IF(Q22="是","优选,","")&amp;IF(R22="是","上下滑,","")&amp;IF(S22="是","激励,","")&amp;IF(T22="是","联盟,","")&amp;IF(U22="是","开屏,","")</f>
        <v/>
      </c>
      <c r="W22" s="39">
        <f>"使用ks-create-ad-script基建"&amp;B22&amp;"组快手广告，"&amp;"账户ID为"&amp;C22&amp;"，任务ID "&amp;D22&amp;"，"&amp;IF(E22&lt;&gt;"","参考"&amp;E22&amp;"账户原来的计划"&amp;F22&amp;IF(G22&lt;&gt;"","组"&amp;G22,"")&amp;"，","")&amp;"出价方式"&amp;H22&amp;IF(I22&lt;&gt;"","，出价"&amp;I22&amp;"元","")&amp;"，"&amp;"素材库"&amp;K22&amp;"，落地页"&amp;L22&amp;"，文案库"&amp;M22&amp;"，"&amp;N22&amp;"，"&amp;IF(V22&lt;&gt;"",LEFT(V22,LEN(V22)-1),"")&amp;"资源位，"&amp;O22&amp;"，投放时段"&amp;P22&amp;"点"&amp;IF(J22&lt;&gt;"","，"&amp;J22,"")&amp;"，其他默认"</f>
        <v/>
      </c>
    </row>
    <row r="23" ht="26" customHeight="1">
      <c r="A23" s="37" t="n">
        <v>19</v>
      </c>
      <c r="B23" s="38" t="inlineStr">
        <is>
          <t>100</t>
        </is>
      </c>
      <c r="C23" s="38" t="n"/>
      <c r="D23" s="38" t="n"/>
      <c r="E23" s="38" t="n"/>
      <c r="F23" s="38" t="n"/>
      <c r="G23" s="38" t="n"/>
      <c r="H23" s="38" t="inlineStr">
        <is>
          <t>付费</t>
        </is>
      </c>
      <c r="I23" s="38" t="n"/>
      <c r="J23" s="38" t="n"/>
      <c r="K23" s="38" t="inlineStr">
        <is>
          <t>81395</t>
        </is>
      </c>
      <c r="L23" s="38" t="inlineStr">
        <is>
          <t>landing_v2_1388</t>
        </is>
      </c>
      <c r="M23" s="38" t="inlineStr">
        <is>
          <t>431</t>
        </is>
      </c>
      <c r="N23" s="38" t="inlineStr">
        <is>
          <t>双端设备</t>
        </is>
      </c>
      <c r="O23" s="38" t="inlineStr">
        <is>
          <t>过滤</t>
        </is>
      </c>
      <c r="P23" s="38" t="inlineStr">
        <is>
          <t>7-22</t>
        </is>
      </c>
      <c r="Q23" s="38" t="inlineStr">
        <is>
          <t>是</t>
        </is>
      </c>
      <c r="R23" s="38" t="inlineStr">
        <is>
          <t>否</t>
        </is>
      </c>
      <c r="S23" s="38" t="inlineStr">
        <is>
          <t>否</t>
        </is>
      </c>
      <c r="T23" s="38" t="inlineStr">
        <is>
          <t>否</t>
        </is>
      </c>
      <c r="U23" s="38" t="inlineStr">
        <is>
          <t>否</t>
        </is>
      </c>
      <c r="V23" s="16">
        <f>IF(Q23="是","优选,","")&amp;IF(R23="是","上下滑,","")&amp;IF(S23="是","激励,","")&amp;IF(T23="是","联盟,","")&amp;IF(U23="是","开屏,","")</f>
        <v/>
      </c>
      <c r="W23" s="39">
        <f>"使用ks-create-ad-script基建"&amp;B23&amp;"组快手广告，"&amp;"账户ID为"&amp;C23&amp;"，任务ID "&amp;D23&amp;"，"&amp;IF(E23&lt;&gt;"","参考"&amp;E23&amp;"账户原来的计划"&amp;F23&amp;IF(G23&lt;&gt;"","组"&amp;G23,"")&amp;"，","")&amp;"出价方式"&amp;H23&amp;IF(I23&lt;&gt;"","，出价"&amp;I23&amp;"元","")&amp;"，"&amp;"素材库"&amp;K23&amp;"，落地页"&amp;L23&amp;"，文案库"&amp;M23&amp;"，"&amp;N23&amp;"，"&amp;IF(V23&lt;&gt;"",LEFT(V23,LEN(V23)-1),"")&amp;"资源位，"&amp;O23&amp;"，投放时段"&amp;P23&amp;"点"&amp;IF(J23&lt;&gt;"","，"&amp;J23,"")&amp;"，其他默认"</f>
        <v/>
      </c>
    </row>
    <row r="24" ht="26" customHeight="1">
      <c r="A24" s="37" t="n">
        <v>20</v>
      </c>
      <c r="B24" s="38" t="inlineStr">
        <is>
          <t>100</t>
        </is>
      </c>
      <c r="C24" s="38" t="n"/>
      <c r="D24" s="38" t="n"/>
      <c r="E24" s="38" t="n"/>
      <c r="F24" s="38" t="n"/>
      <c r="G24" s="38" t="n"/>
      <c r="H24" s="38" t="inlineStr">
        <is>
          <t>付费</t>
        </is>
      </c>
      <c r="I24" s="38" t="n"/>
      <c r="J24" s="38" t="n"/>
      <c r="K24" s="38" t="inlineStr">
        <is>
          <t>81395</t>
        </is>
      </c>
      <c r="L24" s="38" t="inlineStr">
        <is>
          <t>landing_v2_1388</t>
        </is>
      </c>
      <c r="M24" s="38" t="inlineStr">
        <is>
          <t>431</t>
        </is>
      </c>
      <c r="N24" s="38" t="inlineStr">
        <is>
          <t>双端设备</t>
        </is>
      </c>
      <c r="O24" s="38" t="inlineStr">
        <is>
          <t>过滤</t>
        </is>
      </c>
      <c r="P24" s="38" t="inlineStr">
        <is>
          <t>7-22</t>
        </is>
      </c>
      <c r="Q24" s="38" t="inlineStr">
        <is>
          <t>是</t>
        </is>
      </c>
      <c r="R24" s="38" t="inlineStr">
        <is>
          <t>否</t>
        </is>
      </c>
      <c r="S24" s="38" t="inlineStr">
        <is>
          <t>否</t>
        </is>
      </c>
      <c r="T24" s="38" t="inlineStr">
        <is>
          <t>否</t>
        </is>
      </c>
      <c r="U24" s="38" t="inlineStr">
        <is>
          <t>否</t>
        </is>
      </c>
      <c r="V24" s="16">
        <f>IF(Q24="是","优选,","")&amp;IF(R24="是","上下滑,","")&amp;IF(S24="是","激励,","")&amp;IF(T24="是","联盟,","")&amp;IF(U24="是","开屏,","")</f>
        <v/>
      </c>
      <c r="W24" s="39">
        <f>"使用ks-create-ad-script基建"&amp;B24&amp;"组快手广告，"&amp;"账户ID为"&amp;C24&amp;"，任务ID "&amp;D24&amp;"，"&amp;IF(E24&lt;&gt;"","参考"&amp;E24&amp;"账户原来的计划"&amp;F24&amp;IF(G24&lt;&gt;"","组"&amp;G24,"")&amp;"，","")&amp;"出价方式"&amp;H24&amp;IF(I24&lt;&gt;"","，出价"&amp;I24&amp;"元","")&amp;"，"&amp;"素材库"&amp;K24&amp;"，落地页"&amp;L24&amp;"，文案库"&amp;M24&amp;"，"&amp;N24&amp;"，"&amp;IF(V24&lt;&gt;"",LEFT(V24,LEN(V24)-1),"")&amp;"资源位，"&amp;O24&amp;"，投放时段"&amp;P24&amp;"点"&amp;IF(J24&lt;&gt;"","，"&amp;J24,"")&amp;"，其他默认"</f>
        <v/>
      </c>
    </row>
  </sheetData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55" customWidth="1" min="3" max="3"/>
    <col width="18" customWidth="1" min="4" max="4"/>
    <col width="18" customWidth="1" min="5" max="5"/>
    <col width="18" customWidth="1" min="6" max="6"/>
    <col width="4" customWidth="1" min="7" max="7"/>
    <col width="18" customWidth="1" min="8" max="8"/>
    <col width="14" customWidth="1" min="9" max="9"/>
    <col width="18" customWidth="1" min="10" max="10"/>
    <col width="14" customWidth="1" min="11" max="11"/>
  </cols>
  <sheetData>
    <row r="1" ht="36" customHeight="1">
      <c r="A1" s="1" t="inlineStr">
        <is>
          <t>常用配置库 - 所有下拉值在这里维护</t>
        </is>
      </c>
    </row>
    <row r="3" ht="28" customHeight="1">
      <c r="B3" s="3" t="inlineStr">
        <is>
          <t>1. 素材模板</t>
        </is>
      </c>
      <c r="C3" s="4" t="n"/>
      <c r="D3" s="4" t="n"/>
      <c r="E3" s="4" t="n"/>
    </row>
    <row r="4">
      <c r="B4" s="5" t="inlineStr">
        <is>
          <t>模板名称</t>
        </is>
      </c>
      <c r="C4" s="5" t="inlineStr">
        <is>
          <t>素材库ID</t>
        </is>
      </c>
      <c r="D4" s="5" t="inlineStr">
        <is>
          <t>落地页</t>
        </is>
      </c>
      <c r="E4" s="5" t="inlineStr">
        <is>
          <t>文案库ID</t>
        </is>
      </c>
    </row>
    <row r="5" ht="24" customHeight="1">
      <c r="B5" s="40" t="inlineStr">
        <is>
          <t>素材-标准版</t>
        </is>
      </c>
      <c r="C5" s="41" t="inlineStr">
        <is>
          <t>81395</t>
        </is>
      </c>
      <c r="D5" s="41" t="inlineStr">
        <is>
          <t>landing_v2_1388</t>
        </is>
      </c>
      <c r="E5" s="41" t="inlineStr">
        <is>
          <t>431</t>
        </is>
      </c>
    </row>
    <row r="6" ht="24" customHeight="1">
      <c r="B6" s="42" t="n"/>
      <c r="C6" s="42" t="n"/>
      <c r="D6" s="42" t="n"/>
      <c r="E6" s="42" t="n"/>
    </row>
    <row r="7" ht="24" customHeight="1">
      <c r="B7" s="42" t="n"/>
      <c r="C7" s="42" t="n"/>
      <c r="D7" s="42" t="n"/>
      <c r="E7" s="42" t="n"/>
    </row>
    <row r="8" ht="24" customHeight="1">
      <c r="B8" s="42" t="n"/>
      <c r="C8" s="42" t="n"/>
      <c r="D8" s="42" t="n"/>
      <c r="E8" s="42" t="n"/>
    </row>
    <row r="9" ht="24" customHeight="1">
      <c r="B9" s="42" t="n"/>
      <c r="C9" s="42" t="n"/>
      <c r="D9" s="42" t="n"/>
      <c r="E9" s="42" t="n"/>
    </row>
    <row r="10" ht="24" customHeight="1">
      <c r="B10" s="42" t="n"/>
      <c r="C10" s="42" t="n"/>
      <c r="D10" s="42" t="n"/>
      <c r="E10" s="42" t="n"/>
    </row>
    <row r="11" ht="24" customHeight="1">
      <c r="B11" s="42" t="n"/>
      <c r="C11" s="42" t="n"/>
      <c r="D11" s="42" t="n"/>
      <c r="E11" s="42" t="n"/>
    </row>
    <row r="12" ht="24" customHeight="1">
      <c r="B12" s="42" t="n"/>
      <c r="C12" s="42" t="n"/>
      <c r="D12" s="42" t="n"/>
      <c r="E12" s="42" t="n"/>
    </row>
    <row r="13" ht="24" customHeight="1">
      <c r="B13" s="42" t="n"/>
      <c r="C13" s="42" t="n"/>
      <c r="D13" s="42" t="n"/>
      <c r="E13" s="42" t="n"/>
    </row>
    <row r="14" ht="24" customHeight="1">
      <c r="B14" s="42" t="n"/>
      <c r="C14" s="42" t="n"/>
      <c r="D14" s="42" t="n"/>
      <c r="E14" s="42" t="n"/>
    </row>
    <row r="15" ht="24" customHeight="1">
      <c r="B15" s="42" t="n"/>
      <c r="C15" s="42" t="n"/>
      <c r="D15" s="42" t="n"/>
      <c r="E15" s="42" t="n"/>
    </row>
    <row r="16" ht="24" customHeight="1">
      <c r="B16" s="42" t="n"/>
      <c r="C16" s="42" t="n"/>
      <c r="D16" s="42" t="n"/>
      <c r="E16" s="42" t="n"/>
    </row>
    <row r="17" ht="24" customHeight="1">
      <c r="B17" s="42" t="n"/>
      <c r="C17" s="42" t="n"/>
      <c r="D17" s="42" t="n"/>
      <c r="E17" s="42" t="n"/>
    </row>
    <row r="18" ht="24" customHeight="1">
      <c r="B18" s="42" t="n"/>
      <c r="C18" s="42" t="n"/>
      <c r="D18" s="42" t="n"/>
      <c r="E18" s="42" t="n"/>
    </row>
    <row r="19" ht="24" customHeight="1">
      <c r="B19" s="42" t="n"/>
      <c r="C19" s="42" t="n"/>
      <c r="D19" s="42" t="n"/>
      <c r="E19" s="42" t="n"/>
    </row>
    <row r="22" ht="28" customHeight="1">
      <c r="B22" s="3" t="inlineStr">
        <is>
          <t>2. 参考账户模板（选昵称→账户ID/计划ID/组ID一起填入）</t>
        </is>
      </c>
      <c r="C22" s="4" t="n"/>
      <c r="D22" s="4" t="n"/>
      <c r="E22" s="4" t="n"/>
    </row>
    <row r="23">
      <c r="B23" s="5" t="inlineStr">
        <is>
          <t>套餐昵称</t>
        </is>
      </c>
      <c r="C23" s="5" t="inlineStr">
        <is>
          <t>参考账户ID</t>
        </is>
      </c>
      <c r="D23" s="5" t="inlineStr">
        <is>
          <t>参考计划ID</t>
        </is>
      </c>
      <c r="E23" s="5" t="inlineStr">
        <is>
          <t>参考广告组ID</t>
        </is>
      </c>
    </row>
    <row r="24" ht="24" customHeight="1">
      <c r="B24" s="40" t="inlineStr">
        <is>
          <t>闪购-标准定向</t>
        </is>
      </c>
      <c r="C24" s="41" t="inlineStr">
        <is>
          <t>523782219</t>
        </is>
      </c>
      <c r="D24" s="41" t="inlineStr"/>
      <c r="E24" s="41" t="inlineStr"/>
    </row>
    <row r="25" ht="24" customHeight="1">
      <c r="B25" s="40" t="inlineStr">
        <is>
          <t>闪购-MAC定向</t>
        </is>
      </c>
      <c r="C25" s="41" t="inlineStr">
        <is>
          <t>463096449</t>
        </is>
      </c>
      <c r="D25" s="41" t="inlineStr"/>
      <c r="E25" s="41" t="inlineStr"/>
    </row>
    <row r="26" ht="24" customHeight="1">
      <c r="B26" s="40" t="inlineStr">
        <is>
          <t>aac-CVR有端套餐</t>
        </is>
      </c>
      <c r="C26" s="41" t="inlineStr">
        <is>
          <t>1803240580</t>
        </is>
      </c>
      <c r="D26" s="41" t="inlineStr"/>
      <c r="E26" s="41" t="inlineStr"/>
    </row>
    <row r="27" ht="24" customHeight="1">
      <c r="B27" s="40" t="inlineStr">
        <is>
          <t>aac-CVR排除套餐</t>
        </is>
      </c>
      <c r="C27" s="41" t="inlineStr">
        <is>
          <t>1393509178</t>
        </is>
      </c>
      <c r="D27" s="41" t="inlineStr"/>
      <c r="E27" s="41" t="inlineStr"/>
    </row>
    <row r="28" ht="24" customHeight="1">
      <c r="B28" s="40" t="inlineStr">
        <is>
          <t>CVR-商详套餐</t>
        </is>
      </c>
      <c r="C28" s="41" t="inlineStr">
        <is>
          <t>1528775666</t>
        </is>
      </c>
      <c r="D28" s="41" t="inlineStr"/>
      <c r="E28" s="41" t="inlineStr"/>
    </row>
    <row r="29" ht="24" customHeight="1">
      <c r="B29" s="40" t="inlineStr">
        <is>
          <t>CVR-达人二创套餐</t>
        </is>
      </c>
      <c r="C29" s="41" t="inlineStr">
        <is>
          <t>58739616</t>
        </is>
      </c>
      <c r="D29" s="41" t="inlineStr"/>
      <c r="E29" s="41" t="inlineStr"/>
    </row>
    <row r="30" ht="24" customHeight="1">
      <c r="B30" s="40" t="inlineStr">
        <is>
          <t>闲鱼-DAU套餐</t>
        </is>
      </c>
      <c r="C30" s="41" t="inlineStr">
        <is>
          <t>1278297263</t>
        </is>
      </c>
      <c r="D30" s="41" t="inlineStr"/>
      <c r="E30" s="41" t="inlineStr"/>
    </row>
    <row r="31" ht="24" customHeight="1">
      <c r="B31" s="40" t="inlineStr">
        <is>
          <t>促活UV-标准套餐</t>
        </is>
      </c>
      <c r="C31" s="41" t="inlineStr">
        <is>
          <t>630935345</t>
        </is>
      </c>
      <c r="D31" s="41" t="inlineStr"/>
      <c r="E31" s="41" t="inlineStr"/>
    </row>
    <row r="32" ht="24" customHeight="1">
      <c r="B32" s="43" t="n"/>
      <c r="C32" s="43" t="n"/>
      <c r="D32" s="43" t="n"/>
      <c r="E32" s="43" t="n"/>
    </row>
    <row r="33" ht="24" customHeight="1">
      <c r="B33" s="43" t="n"/>
      <c r="C33" s="43" t="n"/>
      <c r="D33" s="43" t="n"/>
      <c r="E33" s="43" t="n"/>
    </row>
    <row r="34" ht="24" customHeight="1">
      <c r="B34" s="43" t="n"/>
      <c r="C34" s="43" t="n"/>
      <c r="D34" s="43" t="n"/>
      <c r="E34" s="43" t="n"/>
    </row>
    <row r="35" ht="24" customHeight="1">
      <c r="B35" s="43" t="n"/>
      <c r="C35" s="43" t="n"/>
      <c r="D35" s="43" t="n"/>
      <c r="E35" s="43" t="n"/>
    </row>
    <row r="36" ht="24" customHeight="1">
      <c r="B36" s="43" t="n"/>
      <c r="C36" s="43" t="n"/>
      <c r="D36" s="43" t="n"/>
      <c r="E36" s="43" t="n"/>
    </row>
    <row r="37" ht="24" customHeight="1">
      <c r="B37" s="43" t="n"/>
      <c r="C37" s="43" t="n"/>
      <c r="D37" s="43" t="n"/>
      <c r="E37" s="43" t="n"/>
    </row>
    <row r="38" ht="24" customHeight="1">
      <c r="B38" s="43" t="n"/>
      <c r="C38" s="43" t="n"/>
      <c r="D38" s="43" t="n"/>
      <c r="E38" s="43" t="n"/>
    </row>
    <row r="39" ht="24" customHeight="1">
      <c r="B39" s="43" t="n"/>
      <c r="C39" s="43" t="n"/>
      <c r="D39" s="43" t="n"/>
      <c r="E39" s="43" t="n"/>
    </row>
    <row r="40" ht="24" customHeight="1">
      <c r="B40" s="43" t="n"/>
      <c r="C40" s="43" t="n"/>
      <c r="D40" s="43" t="n"/>
      <c r="E40" s="43" t="n"/>
    </row>
    <row r="41" ht="24" customHeight="1">
      <c r="B41" s="43" t="n"/>
      <c r="C41" s="43" t="n"/>
      <c r="D41" s="43" t="n"/>
      <c r="E41" s="43" t="n"/>
    </row>
    <row r="42" ht="28" customHeight="1">
      <c r="B42" s="3" t="inlineStr">
        <is>
          <t>3. 伪装参数（激活出价时选，写啥用啥不拆分）</t>
        </is>
      </c>
      <c r="C42" s="44" t="n"/>
      <c r="D42" s="43" t="n"/>
      <c r="E42" s="43" t="n"/>
    </row>
    <row r="43" ht="24" customHeight="1">
      <c r="B43" s="5" t="inlineStr">
        <is>
          <t>说明</t>
        </is>
      </c>
      <c r="C43" s="5" t="inlineStr">
        <is>
          <t>伪装参数值（完整值）</t>
        </is>
      </c>
      <c r="D43" s="43" t="n"/>
      <c r="E43" s="43" t="n"/>
    </row>
    <row r="44" ht="24" customHeight="1">
      <c r="B44" s="40" t="inlineStr">
        <is>
          <t>CVR/aac 专用</t>
        </is>
      </c>
      <c r="C44" s="41" t="inlineStr">
        <is>
          <t>&amp;translationTag=86_60&amp;translationTag2=104_60</t>
        </is>
      </c>
      <c r="D44" s="43" t="n"/>
      <c r="E44" s="43" t="n"/>
    </row>
    <row r="45" ht="24" customHeight="1">
      <c r="B45" s="40" t="inlineStr">
        <is>
          <t>闪购专用</t>
        </is>
      </c>
      <c r="C45" s="41" t="inlineStr">
        <is>
          <t>&amp;translationTag2=143_60</t>
        </is>
      </c>
      <c r="D45" s="43" t="n"/>
      <c r="E45" s="43" t="n"/>
    </row>
    <row r="46" ht="24" customHeight="1">
      <c r="B46" s="43" t="n"/>
      <c r="C46" s="43" t="n"/>
      <c r="D46" s="43" t="n"/>
      <c r="E46" s="43" t="n"/>
    </row>
    <row r="47" ht="24" customHeight="1">
      <c r="B47" s="43" t="n"/>
      <c r="C47" s="43" t="n"/>
      <c r="D47" s="43" t="n"/>
      <c r="E47" s="43" t="n"/>
    </row>
    <row r="48" ht="24" customHeight="1">
      <c r="B48" s="43" t="n"/>
      <c r="C48" s="43" t="n"/>
    </row>
    <row r="49" ht="24" customHeight="1">
      <c r="B49" s="43" t="n"/>
      <c r="C49" s="43" t="n"/>
    </row>
    <row r="50" ht="24" customHeight="1">
      <c r="B50" s="43" t="n"/>
      <c r="C50" s="43" t="n"/>
    </row>
    <row r="51" ht="24" customHeight="1">
      <c r="B51" s="43" t="n"/>
      <c r="C51" s="43" t="n"/>
    </row>
    <row r="52" ht="24" customHeight="1">
      <c r="B52" s="43" t="n"/>
      <c r="C52" s="43" t="n"/>
    </row>
    <row r="53" ht="24" customHeight="1">
      <c r="B53" s="43" t="n"/>
      <c r="C53" s="43" t="n"/>
    </row>
    <row r="54" ht="24" customHeight="1">
      <c r="B54" s="43" t="n"/>
      <c r="C54" s="43" t="n"/>
    </row>
    <row r="55" ht="24" customHeight="1">
      <c r="B55" s="43" t="n"/>
      <c r="C55" s="43" t="n"/>
    </row>
    <row r="56" ht="24" customHeight="1">
      <c r="B56" s="43" t="n"/>
      <c r="C56" s="43" t="n"/>
    </row>
    <row r="58" ht="28" customHeight="1">
      <c r="B58" s="3" t="inlineStr">
        <is>
          <t>4. 任务模板</t>
        </is>
      </c>
      <c r="C58" s="4" t="n"/>
      <c r="D58" s="4" t="n"/>
    </row>
    <row r="59">
      <c r="B59" s="5" t="inlineStr">
        <is>
          <t>业务线</t>
        </is>
      </c>
      <c r="C59" s="5" t="inlineStr">
        <is>
          <t>任务名称</t>
        </is>
      </c>
      <c r="D59" s="5" t="inlineStr">
        <is>
          <t>任务ID</t>
        </is>
      </c>
    </row>
    <row r="60" ht="24" customHeight="1">
      <c r="B60" s="45" t="inlineStr">
        <is>
          <t>闪购</t>
        </is>
      </c>
      <c r="C60" s="46" t="inlineStr">
        <is>
          <t>闪购MAC直营</t>
        </is>
      </c>
      <c r="D60" s="47" t="inlineStr">
        <is>
          <t>523782219</t>
        </is>
      </c>
    </row>
    <row r="61" ht="24" customHeight="1">
      <c r="B61" s="45" t="inlineStr">
        <is>
          <t>闪购</t>
        </is>
      </c>
      <c r="C61" s="46" t="inlineStr">
        <is>
          <t>闪购MAC</t>
        </is>
      </c>
      <c r="D61" s="47" t="inlineStr">
        <is>
          <t>463096449</t>
        </is>
      </c>
    </row>
    <row r="62" ht="24" customHeight="1">
      <c r="B62" s="45" t="inlineStr">
        <is>
          <t>闪购</t>
        </is>
      </c>
      <c r="C62" s="46" t="inlineStr">
        <is>
          <t>M闪购排除</t>
        </is>
      </c>
      <c r="D62" s="47" t="inlineStr">
        <is>
          <t>703153690</t>
        </is>
      </c>
    </row>
    <row r="63" ht="24" customHeight="1">
      <c r="B63" s="45" t="inlineStr">
        <is>
          <t>闪购</t>
        </is>
      </c>
      <c r="C63" s="46" t="inlineStr">
        <is>
          <t>M闪购无端</t>
        </is>
      </c>
      <c r="D63" s="47" t="inlineStr">
        <is>
          <t>2056078744</t>
        </is>
      </c>
    </row>
    <row r="64" ht="24" customHeight="1">
      <c r="B64" s="48" t="inlineStr">
        <is>
          <t>aac</t>
        </is>
      </c>
      <c r="C64" s="49" t="inlineStr">
        <is>
          <t>CVR有端①</t>
        </is>
      </c>
      <c r="D64" s="8" t="inlineStr">
        <is>
          <t>1803240580</t>
        </is>
      </c>
    </row>
    <row r="65" ht="24" customHeight="1">
      <c r="B65" s="48" t="inlineStr">
        <is>
          <t>aac</t>
        </is>
      </c>
      <c r="C65" s="49" t="inlineStr">
        <is>
          <t>CVR排除①</t>
        </is>
      </c>
      <c r="D65" s="8" t="inlineStr">
        <is>
          <t>1393509178</t>
        </is>
      </c>
    </row>
    <row r="66" ht="24" customHeight="1">
      <c r="B66" s="48" t="inlineStr">
        <is>
          <t>aac</t>
        </is>
      </c>
      <c r="C66" s="49" t="inlineStr">
        <is>
          <t>CVR无端</t>
        </is>
      </c>
      <c r="D66" s="8" t="inlineStr">
        <is>
          <t>1578323710</t>
        </is>
      </c>
    </row>
    <row r="67" ht="24" customHeight="1">
      <c r="B67" s="48" t="inlineStr">
        <is>
          <t>aac</t>
        </is>
      </c>
      <c r="C67" s="49" t="inlineStr">
        <is>
          <t>CVR排除②</t>
        </is>
      </c>
      <c r="D67" s="8" t="inlineStr">
        <is>
          <t>219955634</t>
        </is>
      </c>
    </row>
    <row r="68" ht="24" customHeight="1">
      <c r="B68" s="48" t="inlineStr">
        <is>
          <t>aac</t>
        </is>
      </c>
      <c r="C68" s="49" t="inlineStr">
        <is>
          <t>CVR有端②</t>
        </is>
      </c>
      <c r="D68" s="8" t="inlineStr">
        <is>
          <t>302271253</t>
        </is>
      </c>
    </row>
    <row r="69" ht="24" customHeight="1">
      <c r="B69" s="48" t="inlineStr">
        <is>
          <t>aac</t>
        </is>
      </c>
      <c r="C69" s="49" t="inlineStr">
        <is>
          <t>CVR有端③</t>
        </is>
      </c>
      <c r="D69" s="8" t="inlineStr">
        <is>
          <t>1608075348</t>
        </is>
      </c>
    </row>
    <row r="70" ht="24" customHeight="1">
      <c r="B70" s="48" t="inlineStr">
        <is>
          <t>aac</t>
        </is>
      </c>
      <c r="C70" s="49" t="inlineStr">
        <is>
          <t>CVR排除IOS</t>
        </is>
      </c>
      <c r="D70" s="8" t="inlineStr">
        <is>
          <t>245189750</t>
        </is>
      </c>
    </row>
    <row r="71" ht="24" customHeight="1">
      <c r="B71" s="48" t="inlineStr">
        <is>
          <t>aac</t>
        </is>
      </c>
      <c r="C71" s="49" t="inlineStr">
        <is>
          <t>CVR有端IOS</t>
        </is>
      </c>
      <c r="D71" s="8" t="inlineStr">
        <is>
          <t>1560825779</t>
        </is>
      </c>
    </row>
    <row r="72" ht="24" customHeight="1">
      <c r="B72" s="48" t="inlineStr">
        <is>
          <t>aac</t>
        </is>
      </c>
      <c r="C72" s="49" t="inlineStr">
        <is>
          <t>CVR预流失有端</t>
        </is>
      </c>
      <c r="D72" s="8" t="inlineStr">
        <is>
          <t>690833871</t>
        </is>
      </c>
    </row>
    <row r="73" ht="24" customHeight="1">
      <c r="B73" s="48" t="inlineStr">
        <is>
          <t>aac</t>
        </is>
      </c>
      <c r="C73" s="49" t="inlineStr">
        <is>
          <t>CVR预流失排除</t>
        </is>
      </c>
      <c r="D73" s="8" t="inlineStr">
        <is>
          <t>1012483314</t>
        </is>
      </c>
    </row>
    <row r="74" ht="24" customHeight="1">
      <c r="B74" s="50" t="inlineStr">
        <is>
          <t>CVR</t>
        </is>
      </c>
      <c r="C74" s="40" t="inlineStr">
        <is>
          <t>CVR有端商详</t>
        </is>
      </c>
      <c r="D74" s="41" t="inlineStr">
        <is>
          <t>1528775666</t>
        </is>
      </c>
    </row>
    <row r="75" ht="24" customHeight="1">
      <c r="B75" s="50" t="inlineStr">
        <is>
          <t>CVR</t>
        </is>
      </c>
      <c r="C75" s="40" t="inlineStr">
        <is>
          <t>CVR有端羊毛</t>
        </is>
      </c>
      <c r="D75" s="41" t="inlineStr">
        <is>
          <t>2140882234</t>
        </is>
      </c>
    </row>
    <row r="76" ht="24" customHeight="1">
      <c r="B76" s="50" t="inlineStr">
        <is>
          <t>CVR</t>
        </is>
      </c>
      <c r="C76" s="40" t="inlineStr">
        <is>
          <t>CVR达人二创</t>
        </is>
      </c>
      <c r="D76" s="41" t="inlineStr">
        <is>
          <t>58739616</t>
        </is>
      </c>
    </row>
    <row r="77" ht="24" customHeight="1">
      <c r="B77" s="51" t="inlineStr">
        <is>
          <t>闲鱼</t>
        </is>
      </c>
      <c r="C77" s="52" t="inlineStr">
        <is>
          <t>闲鱼DAU</t>
        </is>
      </c>
      <c r="D77" s="53" t="inlineStr">
        <is>
          <t>1278297263</t>
        </is>
      </c>
    </row>
    <row r="78" ht="24" customHeight="1">
      <c r="B78" s="51" t="inlineStr">
        <is>
          <t>闲鱼</t>
        </is>
      </c>
      <c r="C78" s="52" t="inlineStr">
        <is>
          <t>闲鱼DAU-IOS</t>
        </is>
      </c>
      <c r="D78" s="53" t="inlineStr">
        <is>
          <t>1365656821</t>
        </is>
      </c>
    </row>
    <row r="79" ht="24" customHeight="1">
      <c r="B79" s="54" t="inlineStr">
        <is>
          <t>促活UV</t>
        </is>
      </c>
      <c r="C79" s="55" t="inlineStr">
        <is>
          <t>促活UV①</t>
        </is>
      </c>
      <c r="D79" s="56" t="inlineStr">
        <is>
          <t>630935345</t>
        </is>
      </c>
    </row>
    <row r="80" ht="24" customHeight="1">
      <c r="B80" s="54" t="inlineStr">
        <is>
          <t>促活UV</t>
        </is>
      </c>
      <c r="C80" s="55" t="inlineStr">
        <is>
          <t>促活UV②</t>
        </is>
      </c>
      <c r="D80" s="56" t="inlineStr">
        <is>
          <t>42616810</t>
        </is>
      </c>
    </row>
    <row r="81" ht="24" customHeight="1">
      <c r="B81" s="54" t="inlineStr">
        <is>
          <t>促活UV</t>
        </is>
      </c>
      <c r="C81" s="55" t="inlineStr">
        <is>
          <t>促活UV③</t>
        </is>
      </c>
      <c r="D81" s="56" t="inlineStr">
        <is>
          <t>1262239754</t>
        </is>
      </c>
    </row>
    <row r="82" ht="24" customHeight="1">
      <c r="B82" s="54" t="inlineStr">
        <is>
          <t>促活UV</t>
        </is>
      </c>
      <c r="C82" s="55" t="inlineStr">
        <is>
          <t>促活UV④</t>
        </is>
      </c>
      <c r="D82" s="56" t="inlineStr">
        <is>
          <t>1488406551</t>
        </is>
      </c>
    </row>
    <row r="83" ht="24" customHeight="1">
      <c r="B83" s="43" t="n"/>
      <c r="C83" s="43" t="n"/>
      <c r="D83" s="43" t="n"/>
    </row>
    <row r="84" ht="24" customHeight="1">
      <c r="B84" s="43" t="n"/>
      <c r="C84" s="43" t="n"/>
      <c r="D84" s="43" t="n"/>
    </row>
    <row r="85" ht="28" customHeight="1">
      <c r="B85" s="3" t="inlineStr">
        <is>
          <t>5. 时段模板</t>
        </is>
      </c>
      <c r="C85" s="44" t="n"/>
      <c r="D85" s="43" t="n"/>
    </row>
    <row r="86" ht="24" customHeight="1">
      <c r="B86" s="5" t="inlineStr">
        <is>
          <t>模板名称</t>
        </is>
      </c>
      <c r="C86" s="5" t="inlineStr">
        <is>
          <t>时段值</t>
        </is>
      </c>
      <c r="D86" s="43" t="n"/>
    </row>
    <row r="87" ht="24" customHeight="1">
      <c r="B87" s="40" t="inlineStr">
        <is>
          <t>白天投放</t>
        </is>
      </c>
      <c r="C87" s="41" t="inlineStr">
        <is>
          <t>7-22</t>
        </is>
      </c>
      <c r="D87" s="43" t="n"/>
    </row>
    <row r="88" ht="24" customHeight="1">
      <c r="B88" s="40" t="inlineStr">
        <is>
          <t>全天投放</t>
        </is>
      </c>
      <c r="C88" s="41" t="inlineStr">
        <is>
          <t>0-24</t>
        </is>
      </c>
      <c r="D88" s="43" t="n"/>
    </row>
    <row r="89" ht="24" customHeight="1">
      <c r="B89" s="40" t="inlineStr">
        <is>
          <t>夜间投放</t>
        </is>
      </c>
      <c r="C89" s="41" t="inlineStr">
        <is>
          <t>20-6</t>
        </is>
      </c>
      <c r="D89" s="43" t="n"/>
    </row>
    <row r="90" ht="24" customHeight="1">
      <c r="B90" s="40" t="inlineStr">
        <is>
          <t>黄金时段</t>
        </is>
      </c>
      <c r="C90" s="41" t="inlineStr">
        <is>
          <t>10-14,18-22</t>
        </is>
      </c>
      <c r="D90" s="43" t="n"/>
    </row>
    <row r="91" ht="24" customHeight="1">
      <c r="B91" s="43" t="n"/>
      <c r="C91" s="43" t="n"/>
      <c r="D91" s="43" t="n"/>
    </row>
    <row r="92" ht="24" customHeight="1">
      <c r="B92" s="43" t="n"/>
      <c r="C92" s="43" t="n"/>
      <c r="D92" s="43" t="n"/>
    </row>
    <row r="93" ht="24" customHeight="1">
      <c r="B93" s="43" t="n"/>
      <c r="C93" s="43" t="n"/>
      <c r="D93" s="43" t="n"/>
    </row>
    <row r="94" ht="24" customHeight="1">
      <c r="B94" s="43" t="n"/>
      <c r="C94" s="43" t="n"/>
    </row>
    <row r="95" ht="24" customHeight="1">
      <c r="B95" s="43" t="n"/>
      <c r="C95" s="43" t="n"/>
    </row>
    <row r="96" ht="24" customHeight="1">
      <c r="B96" s="43" t="n"/>
      <c r="C96" s="43" t="n"/>
    </row>
    <row r="97" ht="24" customHeight="1">
      <c r="B97" s="43" t="n"/>
      <c r="C97" s="43" t="n"/>
    </row>
    <row r="98" ht="24" customHeight="1">
      <c r="B98" s="43" t="n"/>
      <c r="C98" s="43" t="n"/>
    </row>
    <row r="99" ht="24" customHeight="1">
      <c r="B99" s="43" t="n"/>
      <c r="C99" s="43" t="n"/>
    </row>
    <row r="100" ht="24" customHeight="1">
      <c r="B100" s="43" t="n"/>
      <c r="C100" s="43" t="n"/>
    </row>
    <row r="101" ht="24" customHeight="1">
      <c r="B101" s="43" t="n"/>
      <c r="C101" s="43" t="n"/>
    </row>
  </sheetData>
  <mergeCells count="6">
    <mergeCell ref="B42:C42"/>
    <mergeCell ref="B58:D58"/>
    <mergeCell ref="B85:C85"/>
    <mergeCell ref="B3:E3"/>
    <mergeCell ref="A1:K1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2026-06-29T09:11:53Z</dcterms:created>
  <dcterms:modified xmlns:dcterms="http://purl.org/dc/terms/" xmlns:xsi="http://www.w3.org/2001/XMLSchema-instance" xsi:type="dcterms:W3CDTF">2026-06-29T09:11:53Z</dcterms:modified>
</cp:coreProperties>
</file>